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meslier\Documents\08_Work_with_Mathieu\Mock_paper\gitlab_benchmark_mock\script_r\"/>
    </mc:Choice>
  </mc:AlternateContent>
  <bookViews>
    <workbookView xWindow="0" yWindow="0" windowWidth="28800" windowHeight="12440"/>
  </bookViews>
  <sheets>
    <sheet name="S1-Composition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2" i="1" l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<sst xmlns="http://schemas.openxmlformats.org/spreadsheetml/2006/main" count="986" uniqueCount="600">
  <si>
    <t>Kingdom</t>
  </si>
  <si>
    <t>GC %</t>
  </si>
  <si>
    <t># rRNA operons</t>
  </si>
  <si>
    <t>Notes</t>
  </si>
  <si>
    <t xml:space="preserve">Aciduliprofundum boonei </t>
  </si>
  <si>
    <t>Archaea</t>
  </si>
  <si>
    <t>NP</t>
  </si>
  <si>
    <t xml:space="preserve">Archaeoglobus fulgidus </t>
  </si>
  <si>
    <t>Haloferax volcanii</t>
  </si>
  <si>
    <t>Methanobrevibacter oralis DSM 7256</t>
  </si>
  <si>
    <t>Draft</t>
  </si>
  <si>
    <t>Methanocaldococcus jannaschii</t>
  </si>
  <si>
    <t>Methanomassiliicoccus luminyensis</t>
  </si>
  <si>
    <t>Methanomethylovorans hollandica</t>
  </si>
  <si>
    <t xml:space="preserve">Methanopyrus kandleri </t>
  </si>
  <si>
    <t>Methanothermus fervidus</t>
  </si>
  <si>
    <t xml:space="preserve">Pyrococcus furiosus </t>
  </si>
  <si>
    <t xml:space="preserve">Pyrococcus horikoshii </t>
  </si>
  <si>
    <t xml:space="preserve">Acidilobus saccharovorans </t>
  </si>
  <si>
    <t>Crenarchaeota</t>
  </si>
  <si>
    <t xml:space="preserve">Ignicoccus hospitalis </t>
  </si>
  <si>
    <t>Ignicoccus islandicus</t>
  </si>
  <si>
    <t xml:space="preserve">Pyrobaculum arsenaticum </t>
  </si>
  <si>
    <t xml:space="preserve">Pyrobaculum calidifontis </t>
  </si>
  <si>
    <t xml:space="preserve">Nanoarchaeum equitans </t>
  </si>
  <si>
    <t>Nanoarchaeota</t>
  </si>
  <si>
    <t xml:space="preserve">Acidobacterium capsulatum </t>
  </si>
  <si>
    <t>Bacteria</t>
  </si>
  <si>
    <t>Acidobacteria</t>
  </si>
  <si>
    <t>Actinobacteria</t>
  </si>
  <si>
    <t>Aquificae</t>
  </si>
  <si>
    <t xml:space="preserve">Bacteroides thetaiotaomicron </t>
  </si>
  <si>
    <t>Bacteroidetes</t>
  </si>
  <si>
    <t xml:space="preserve">Porphyromonas gingivalis </t>
  </si>
  <si>
    <t xml:space="preserve">Chlorobium limicola </t>
  </si>
  <si>
    <t>Chlorobi</t>
  </si>
  <si>
    <t xml:space="preserve">Chlorobium phaeobacteroides </t>
  </si>
  <si>
    <t xml:space="preserve">Chlorobium phaeovibrioides </t>
  </si>
  <si>
    <t xml:space="preserve">Pelodictyon phaeoclathratiforme </t>
  </si>
  <si>
    <t>Chloroflexi</t>
  </si>
  <si>
    <t>Cyanobacteria</t>
  </si>
  <si>
    <t xml:space="preserve">Dictyoglomus turgidum </t>
  </si>
  <si>
    <t>Dictyoglomi</t>
  </si>
  <si>
    <t>Firmicutes</t>
  </si>
  <si>
    <t>Caldicellulosiruptor bescii</t>
  </si>
  <si>
    <t xml:space="preserve">Caldicellulosiruptor saccharolyticus </t>
  </si>
  <si>
    <t xml:space="preserve">Clostridium beijerinckii ATCC 35702 </t>
  </si>
  <si>
    <t>Desulfitobacterium dehalogenans</t>
  </si>
  <si>
    <t xml:space="preserve">Enterococcus faecalis </t>
  </si>
  <si>
    <t xml:space="preserve">Lactobacillus gasseri ATCC 33323 </t>
  </si>
  <si>
    <t>Streptococcus mutans UA159-FR</t>
  </si>
  <si>
    <t xml:space="preserve">Thermoanaerobacter pseudethanolicus </t>
  </si>
  <si>
    <t>Fusobacteria</t>
  </si>
  <si>
    <t xml:space="preserve">Gemmatimonas aurantiaca </t>
  </si>
  <si>
    <t>Gemmatimonadetes</t>
  </si>
  <si>
    <t xml:space="preserve">Rhodopirellula baltica </t>
  </si>
  <si>
    <t>Planctomycetes</t>
  </si>
  <si>
    <t xml:space="preserve">Ruegeria pomeroyi </t>
  </si>
  <si>
    <t>Leptothrix cholodnii</t>
  </si>
  <si>
    <t xml:space="preserve">Nitrosomonas europaea </t>
  </si>
  <si>
    <t>Desulfobulbus oralis</t>
  </si>
  <si>
    <t>Desulfomicrobium baculatum</t>
  </si>
  <si>
    <t>Desulfovibrio piger</t>
  </si>
  <si>
    <t>Geobacter bemidjiensis</t>
  </si>
  <si>
    <t>Wolinella succinogenes</t>
  </si>
  <si>
    <t xml:space="preserve">Pseudomonas aeruginosa ATCC 9027 </t>
  </si>
  <si>
    <t>Shewanella baltica OS223</t>
  </si>
  <si>
    <t xml:space="preserve">Treponema denticola </t>
  </si>
  <si>
    <t>Spirochaetes</t>
  </si>
  <si>
    <t>Thermotogae</t>
  </si>
  <si>
    <t xml:space="preserve">Akkermansia muciniphila </t>
  </si>
  <si>
    <t>Verrucomicrobia</t>
  </si>
  <si>
    <t>Strain Name</t>
  </si>
  <si>
    <t>GCA_000025665.1</t>
  </si>
  <si>
    <t>T469</t>
  </si>
  <si>
    <t>345-15</t>
  </si>
  <si>
    <t>GCA_000144915.1</t>
  </si>
  <si>
    <t>ATCC 51196</t>
  </si>
  <si>
    <t>GCA_000022565.1</t>
  </si>
  <si>
    <t>GCA_000015425.1</t>
  </si>
  <si>
    <t>ATCC 17978</t>
  </si>
  <si>
    <t>GCA_000154225.1</t>
  </si>
  <si>
    <t>ATCC 17982</t>
  </si>
  <si>
    <t>ATCC BAA-835</t>
  </si>
  <si>
    <t>GCA_000020225.1</t>
  </si>
  <si>
    <t>GCA_000008005.1</t>
  </si>
  <si>
    <t>ATCC 10987</t>
  </si>
  <si>
    <t>VPI-5482</t>
  </si>
  <si>
    <t>GCA_000011065.1</t>
  </si>
  <si>
    <t>ATCC 8482</t>
  </si>
  <si>
    <t>GCA_000012825.1</t>
  </si>
  <si>
    <t>ATCC 15703</t>
  </si>
  <si>
    <t>GCA_000010425.1</t>
  </si>
  <si>
    <t>RB50</t>
  </si>
  <si>
    <t>GCA_000195675.1</t>
  </si>
  <si>
    <t>LB400</t>
  </si>
  <si>
    <t>GCA_000013645.1</t>
  </si>
  <si>
    <t>DSM 6725</t>
  </si>
  <si>
    <t>GCA_000022325.1</t>
  </si>
  <si>
    <t>DSM 8903</t>
  </si>
  <si>
    <t>GCA_000016545.1</t>
  </si>
  <si>
    <t>DSM 245</t>
  </si>
  <si>
    <t>DSM 266</t>
  </si>
  <si>
    <t>DSM 265</t>
  </si>
  <si>
    <t>TLS</t>
  </si>
  <si>
    <t>J-10-fl</t>
  </si>
  <si>
    <t>GCA_000020465.1</t>
  </si>
  <si>
    <t>GCA_000015125.1</t>
  </si>
  <si>
    <t>GCA_000016085.1</t>
  </si>
  <si>
    <t>GCA_000006985.1</t>
  </si>
  <si>
    <t>GCA_000018865.1</t>
  </si>
  <si>
    <t xml:space="preserve">ATCC 35702 </t>
  </si>
  <si>
    <t>GCA_000767745.1</t>
  </si>
  <si>
    <t xml:space="preserve">Ruminiclostridium thermocellum </t>
  </si>
  <si>
    <t>ATCC 27405</t>
  </si>
  <si>
    <t>GCA_000015865.1</t>
  </si>
  <si>
    <t>R1</t>
  </si>
  <si>
    <t>GCA_000008565.1</t>
  </si>
  <si>
    <t>GCA_000243155.3</t>
  </si>
  <si>
    <t>ATCC 51507</t>
  </si>
  <si>
    <t>DSM 4028</t>
  </si>
  <si>
    <t>GCA_000023225.1</t>
  </si>
  <si>
    <t>ND132</t>
  </si>
  <si>
    <t>GCA_000189295.2</t>
  </si>
  <si>
    <t>ATCC 29098</t>
  </si>
  <si>
    <t>GCA_000156375.1</t>
  </si>
  <si>
    <t>GCA_000195755.1</t>
  </si>
  <si>
    <t>Hildenborough</t>
  </si>
  <si>
    <t>GCA_000021645.1</t>
  </si>
  <si>
    <t>DSM 6724</t>
  </si>
  <si>
    <t>OG1RF</t>
  </si>
  <si>
    <t>GCA_000172575.2</t>
  </si>
  <si>
    <t>K-12 MG1655</t>
  </si>
  <si>
    <t>GCA_000005845.2</t>
  </si>
  <si>
    <t xml:space="preserve">Fusobacterium nucleatum subsp. nucleatum </t>
  </si>
  <si>
    <t>ATCC 25586</t>
  </si>
  <si>
    <t>T-27</t>
  </si>
  <si>
    <t>GCA_000010305.1</t>
  </si>
  <si>
    <t>Bem</t>
  </si>
  <si>
    <t>GCA_000020725.1</t>
  </si>
  <si>
    <t>PCA</t>
  </si>
  <si>
    <t>GCA_000007985.2</t>
  </si>
  <si>
    <t>GCA_000006805.1</t>
  </si>
  <si>
    <t>NRC-1</t>
  </si>
  <si>
    <t>C5</t>
  </si>
  <si>
    <t>S2</t>
  </si>
  <si>
    <t>DS2</t>
  </si>
  <si>
    <t>DSM 785</t>
  </si>
  <si>
    <t>Y04AAS1</t>
  </si>
  <si>
    <t>SP-6</t>
  </si>
  <si>
    <t>DSM 2661</t>
  </si>
  <si>
    <t>AV19</t>
  </si>
  <si>
    <t>Kin4-M</t>
  </si>
  <si>
    <t>ATCC 19718</t>
  </si>
  <si>
    <t>BU-1</t>
  </si>
  <si>
    <t>ATCC 33277</t>
  </si>
  <si>
    <t>DSM 13514</t>
  </si>
  <si>
    <t>JCM 11548</t>
  </si>
  <si>
    <t>DSM 3638</t>
  </si>
  <si>
    <t>OT3</t>
  </si>
  <si>
    <t>SH 1</t>
  </si>
  <si>
    <t>DSS-3</t>
  </si>
  <si>
    <t>CNS-205</t>
  </si>
  <si>
    <t>CNB-440</t>
  </si>
  <si>
    <t>ATCC 33223</t>
  </si>
  <si>
    <t>ATCC 35405</t>
  </si>
  <si>
    <t>DSM 1740</t>
  </si>
  <si>
    <t>Zymomonas mobilis subsp. mobilis</t>
  </si>
  <si>
    <t>ZM4</t>
  </si>
  <si>
    <t>GCA_000025685.1</t>
  </si>
  <si>
    <t>ATCC 700392 = 26695</t>
  </si>
  <si>
    <t>GCA_000008525.1</t>
  </si>
  <si>
    <t>GCA_000018565.1</t>
  </si>
  <si>
    <t>GCA_000020785.1</t>
  </si>
  <si>
    <t>KIN4/I</t>
  </si>
  <si>
    <t>GCA_000017945.1</t>
  </si>
  <si>
    <t>GCA_001481685.1</t>
  </si>
  <si>
    <t>DSM 13165</t>
  </si>
  <si>
    <t>GCA_000014425.1</t>
  </si>
  <si>
    <t>ATCC 33323</t>
  </si>
  <si>
    <t>GCA_000019785.1</t>
  </si>
  <si>
    <t>GCA_001639275.1</t>
  </si>
  <si>
    <t>DSM 7256</t>
  </si>
  <si>
    <t>GCA_000091665.1</t>
  </si>
  <si>
    <t>GCA_000016125.1</t>
  </si>
  <si>
    <t>C2A</t>
  </si>
  <si>
    <t>MC58</t>
  </si>
  <si>
    <t>GCA_000011585.1</t>
  </si>
  <si>
    <t>B10</t>
  </si>
  <si>
    <t>GCA_000308215.1</t>
  </si>
  <si>
    <t>GCA_000328665.1</t>
  </si>
  <si>
    <t>DSM 15978</t>
  </si>
  <si>
    <t>GCA_000007185.1</t>
  </si>
  <si>
    <t>GCA_000007345.1</t>
  </si>
  <si>
    <t>DSM 2088</t>
  </si>
  <si>
    <t>GCA_000166095.1</t>
  </si>
  <si>
    <t>GCA_000008085.1</t>
  </si>
  <si>
    <t>GCA_000008805.1</t>
  </si>
  <si>
    <t>SBW25</t>
  </si>
  <si>
    <t>KT2440</t>
  </si>
  <si>
    <t>IM2</t>
  </si>
  <si>
    <t>OS185</t>
  </si>
  <si>
    <t>OS223</t>
  </si>
  <si>
    <t>GCA_000009145.1</t>
  </si>
  <si>
    <t>GCA_000009705.1</t>
  </si>
  <si>
    <t>sp. PCC 7120</t>
  </si>
  <si>
    <t>EX-H1</t>
  </si>
  <si>
    <t>GCA_000020645.1</t>
  </si>
  <si>
    <t>GCA_000021565.1</t>
  </si>
  <si>
    <t>GCA_000010505.1</t>
  </si>
  <si>
    <t>GCA_000231215.1</t>
  </si>
  <si>
    <t>ATCC 11828</t>
  </si>
  <si>
    <t>GCA_002563335.1</t>
  </si>
  <si>
    <t>GCA_000009225.1</t>
  </si>
  <si>
    <t>ATCC 17029</t>
  </si>
  <si>
    <t>ATCC 12228</t>
  </si>
  <si>
    <t>GCA_000007565.2</t>
  </si>
  <si>
    <t>DSM 4359</t>
  </si>
  <si>
    <t>RKU-1</t>
  </si>
  <si>
    <t>GCA_000007225.1</t>
  </si>
  <si>
    <t>GCA_000016385.1</t>
  </si>
  <si>
    <t>GCA_000015805.1</t>
  </si>
  <si>
    <t>GCA_000007305.1</t>
  </si>
  <si>
    <t>GCA_000011105.1</t>
  </si>
  <si>
    <t>GCA_000015985.1</t>
  </si>
  <si>
    <t>GCA_000196115.1</t>
  </si>
  <si>
    <t>GCA_000011965.2</t>
  </si>
  <si>
    <t>GCA_000018265.1</t>
  </si>
  <si>
    <t>GCA_000016425.1</t>
  </si>
  <si>
    <t>GCA_000017325.1</t>
  </si>
  <si>
    <t>GCA_000021665.1</t>
  </si>
  <si>
    <t>PV-4</t>
  </si>
  <si>
    <t>GCA_000016065.1</t>
  </si>
  <si>
    <t>GCA_000013465.1</t>
  </si>
  <si>
    <t>USA300_FPR3757</t>
  </si>
  <si>
    <t>UA159-FR</t>
  </si>
  <si>
    <t>GCA_000007645.1</t>
  </si>
  <si>
    <t>2603V/R</t>
  </si>
  <si>
    <t>GCA_000007265.1</t>
  </si>
  <si>
    <t>GCA_000817065.1</t>
  </si>
  <si>
    <t>str. 7</t>
  </si>
  <si>
    <t>GCA_000011205.1</t>
  </si>
  <si>
    <t>GCA_000020325.1</t>
  </si>
  <si>
    <t>GCA_000019085.1</t>
  </si>
  <si>
    <t>GCA_000018945.1</t>
  </si>
  <si>
    <t>GCA_000016785.1</t>
  </si>
  <si>
    <t>GCA_000019625.1</t>
  </si>
  <si>
    <t>GCA_000008185.1</t>
  </si>
  <si>
    <t>GCA_000196135.1</t>
  </si>
  <si>
    <t>GCA_000007105.1</t>
  </si>
  <si>
    <t>sp. ONRL</t>
  </si>
  <si>
    <t>GCA_002952055.1</t>
  </si>
  <si>
    <t>ATCC 9027</t>
  </si>
  <si>
    <t># Ns</t>
  </si>
  <si>
    <t># scaffolds</t>
  </si>
  <si>
    <t>Complete</t>
  </si>
  <si>
    <t>2 plasmids</t>
  </si>
  <si>
    <t>6 plasmids</t>
  </si>
  <si>
    <t>3 plasmids</t>
  </si>
  <si>
    <t>4 plasmids</t>
  </si>
  <si>
    <t>1 plasmid</t>
  </si>
  <si>
    <t>2 chromosomes 2 plasmids</t>
  </si>
  <si>
    <t>Genbank Assembly Accession ID</t>
  </si>
  <si>
    <t>Genome 
Size (Mbp)</t>
  </si>
  <si>
    <t>1 megaplasmid</t>
  </si>
  <si>
    <t>3 chromosomes</t>
  </si>
  <si>
    <t>2 chromosomes 1 plasmid</t>
  </si>
  <si>
    <t>DSM 4304</t>
  </si>
  <si>
    <t>GCA_000008665.1</t>
  </si>
  <si>
    <t>GCA_003019295.1</t>
  </si>
  <si>
    <r>
      <t>Proteobacteria (</t>
    </r>
    <r>
      <rPr>
        <sz val="11"/>
        <color theme="1"/>
        <rFont val="Symbol"/>
        <family val="1"/>
        <charset val="2"/>
      </rPr>
      <t>g</t>
    </r>
    <r>
      <rPr>
        <sz val="11"/>
        <color theme="1"/>
        <rFont val="Arial"/>
        <family val="2"/>
      </rPr>
      <t>)</t>
    </r>
  </si>
  <si>
    <r>
      <t>Proteobacteria (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>)</t>
    </r>
  </si>
  <si>
    <r>
      <t>Proteobacteria (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rial"/>
        <family val="2"/>
      </rPr>
      <t>)</t>
    </r>
  </si>
  <si>
    <r>
      <t>Proteobacteria (</t>
    </r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Arial"/>
        <family val="2"/>
      </rPr>
      <t>)</t>
    </r>
  </si>
  <si>
    <r>
      <t>Proteobacteria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Arial"/>
        <family val="2"/>
      </rPr>
      <t>)</t>
    </r>
  </si>
  <si>
    <t>Chloroflexus_aurantiacus_J-10-fl</t>
  </si>
  <si>
    <t>Deinococcus_radiodurans_R1</t>
  </si>
  <si>
    <t>Escherichia_coli_K-12_MG1655</t>
  </si>
  <si>
    <t>Geobacter_sulfurreducens_PCA</t>
  </si>
  <si>
    <t>Halobacterium_salinarum_NRC-1</t>
  </si>
  <si>
    <t>Hydrogenobaculum_sp._Y04AAS1</t>
  </si>
  <si>
    <t>Methanobrevibacter_oralis_DSM_7256</t>
  </si>
  <si>
    <t>Methanococcus_maripaludis_C5</t>
  </si>
  <si>
    <t>Methanococcus_maripaludis_S2</t>
  </si>
  <si>
    <t>Methanosarcina_acetivorans_C2A</t>
  </si>
  <si>
    <t>Paraburkholderia_xenovorans_LB400</t>
  </si>
  <si>
    <t>Persephonella_marina_EX-H1</t>
  </si>
  <si>
    <t>Pseudomonas_fluorescens_SBW25</t>
  </si>
  <si>
    <t>Pseudomonas_putida_KT2440</t>
  </si>
  <si>
    <t>Pyrobaculum_aerophilum_IM2</t>
  </si>
  <si>
    <t>Shewanella_baltica_OS185</t>
  </si>
  <si>
    <t>Shewanella_baltica_OS223</t>
  </si>
  <si>
    <t>Shewanella_loihica_PV-4</t>
  </si>
  <si>
    <t>Staphylococcus_aureus_USA300_FPR3757</t>
  </si>
  <si>
    <t>Streptococcus_mutans_UA159-FR</t>
  </si>
  <si>
    <t>Sulfurihydrogenibium_sp._YO3AOP1</t>
  </si>
  <si>
    <t>Thermotoga_neapolitana_DSM_4359</t>
  </si>
  <si>
    <t>Thermotoga_petrophila_RKU-1</t>
  </si>
  <si>
    <t>Acidilobus_saccharovorans_345-15</t>
  </si>
  <si>
    <t>Acidobacterium_capsulatum_ATCC_51196</t>
  </si>
  <si>
    <t>Aciduliprofundum_boonei_T469</t>
  </si>
  <si>
    <t>Akkermansia_muciniphila_ATCC_BAA-835</t>
  </si>
  <si>
    <t>Archaeoglobus_fulgidus_DSM_4304</t>
  </si>
  <si>
    <t>Bacteroides_thetaiotaomicron_VPI-5482</t>
  </si>
  <si>
    <t>Caldicellulosiruptor_saccharolyticus_DSM_8903</t>
  </si>
  <si>
    <t>Chlorobium_limicola_DSM_245</t>
  </si>
  <si>
    <t>Chlorobium_phaeobacteroides_DSM_266</t>
  </si>
  <si>
    <t>Chlorobium_phaeovibrioides_DSM_265</t>
  </si>
  <si>
    <t>Dictyoglomus_turgidum_DSM_6724</t>
  </si>
  <si>
    <t>Enterococcus_faecalis_OG1RF</t>
  </si>
  <si>
    <t>Fusobacterium_nucleatum_subsp._nucleatum_ATCC_25586</t>
  </si>
  <si>
    <t>Gemmatimonas_aurantiaca_T-27</t>
  </si>
  <si>
    <t>Herpetosiphon_aurantiacus_DSM_785</t>
  </si>
  <si>
    <t>Methanopyrus_kandleri_AV19</t>
  </si>
  <si>
    <t>Nanoarchaeum_equitans_Kin4-M</t>
  </si>
  <si>
    <t>Nitrosomonas_europaea_ATCC_19718</t>
  </si>
  <si>
    <t>Pelodictyon_phaeoclathratiforme_BU-1</t>
  </si>
  <si>
    <t>Porphyromonas_gingivalis_ATCC_33277</t>
  </si>
  <si>
    <t>Pyrobaculum_arsenaticum_DSM_13514</t>
  </si>
  <si>
    <t>Pyrobaculum_calidifontis_JCM_11548</t>
  </si>
  <si>
    <t>Pyrococcus_furiosus_DSM_3638</t>
  </si>
  <si>
    <t>Pyrococcus_horikoshii_OT3</t>
  </si>
  <si>
    <t>Rhodopirellula_baltica_SH_1</t>
  </si>
  <si>
    <t>Ruegeria_pomeroyi_DSS-3</t>
  </si>
  <si>
    <t>Ruminiclostridium_thermocellum_ATCC_27405</t>
  </si>
  <si>
    <t>Thermoanaerobacter_pseudethanolicus_ATCC_33223</t>
  </si>
  <si>
    <t>Treponema_denticola_ATCC_35405</t>
  </si>
  <si>
    <t>Acinetobacter_baumannii_ATCC_17978</t>
  </si>
  <si>
    <t>Bacillus_cereus_ATCC_10987</t>
  </si>
  <si>
    <t>Bifidobacterium_adolescentis_ATCC_15703</t>
  </si>
  <si>
    <t>Caldicellulosiruptor_bescii_DSM_6725</t>
  </si>
  <si>
    <t>Clostridium_beijerinckii_ATCC_35702</t>
  </si>
  <si>
    <t>Desulfitobacterium_dehalogenans_ATCC_51507</t>
  </si>
  <si>
    <t>Desulfobulbus_oralis_sp._ONRL</t>
  </si>
  <si>
    <t>Desulfomicrobium_baculatum_DSM_4028</t>
  </si>
  <si>
    <t>Desulfovibrio_piger_ATCC_29098</t>
  </si>
  <si>
    <t>Geobacter_bemidjiensis_Bem</t>
  </si>
  <si>
    <t>Haloferax_volcanii_DS2</t>
  </si>
  <si>
    <t>Helicobacter_pylori_ATCC_700392</t>
  </si>
  <si>
    <t>Ignicoccus_hospitalis_KIN4_I</t>
  </si>
  <si>
    <t>Ignicoccus_islandicus_DSM_13165</t>
  </si>
  <si>
    <t>Lactobacillus_gasseri_ATCC_33323</t>
  </si>
  <si>
    <t>Leptothrix_cholodnii_SP-6</t>
  </si>
  <si>
    <t>Methanocaldococcus_jannaschii_DSM_2661</t>
  </si>
  <si>
    <t>Methanomassiliicoccus_luminyensis_B10</t>
  </si>
  <si>
    <t>Methanomethylovorans_hollandica_DSM_15978</t>
  </si>
  <si>
    <t>Methanothermus_fervidus_DSM_2088</t>
  </si>
  <si>
    <t>Neisseria_meningitidis_MC58</t>
  </si>
  <si>
    <t>Pseudomonas_aeruginosa_ATCC_9027</t>
  </si>
  <si>
    <t>Staphylococcus_epidermidis_ATCC_12228</t>
  </si>
  <si>
    <t>Streptococcus_agalactiae_sv._V_V_2603V_R</t>
  </si>
  <si>
    <t>Wolinella_succinogenes_DSM_1740</t>
  </si>
  <si>
    <t>Zymomonas_mobilis_subsp._mobilis_ZM4</t>
  </si>
  <si>
    <t>Genome label</t>
  </si>
  <si>
    <t>Genome
Status</t>
  </si>
  <si>
    <t>Euryarchaeota</t>
  </si>
  <si>
    <t>50.8</t>
  </si>
  <si>
    <t>67.9</t>
  </si>
  <si>
    <t>56.5</t>
  </si>
  <si>
    <t>46.3</t>
  </si>
  <si>
    <t>61.2</t>
  </si>
  <si>
    <t>51.4</t>
  </si>
  <si>
    <t>35.6</t>
  </si>
  <si>
    <t>40.8</t>
  </si>
  <si>
    <t>42.7</t>
  </si>
  <si>
    <t>61.5</t>
  </si>
  <si>
    <t>60.9</t>
  </si>
  <si>
    <t>35.3</t>
  </si>
  <si>
    <t>31.6</t>
  </si>
  <si>
    <t>37.9</t>
  </si>
  <si>
    <t>38.9</t>
  </si>
  <si>
    <t>66.6</t>
  </si>
  <si>
    <t>48.6</t>
  </si>
  <si>
    <t>51.5</t>
  </si>
  <si>
    <t>50.7</t>
  </si>
  <si>
    <t>41.3</t>
  </si>
  <si>
    <t>64.3</t>
  </si>
  <si>
    <t>59.2</t>
  </si>
  <si>
    <t>48.4</t>
  </si>
  <si>
    <t>42.9</t>
  </si>
  <si>
    <t>41.9</t>
  </si>
  <si>
    <t>32.8</t>
  </si>
  <si>
    <t>33.1</t>
  </si>
  <si>
    <t>64.1</t>
  </si>
  <si>
    <t>42.2</t>
  </si>
  <si>
    <t>32.7</t>
  </si>
  <si>
    <t>62.6</t>
  </si>
  <si>
    <t>35.2</t>
  </si>
  <si>
    <t>57.2</t>
  </si>
  <si>
    <t>53.7</t>
  </si>
  <si>
    <t>55.1</t>
  </si>
  <si>
    <t>69.5</t>
  </si>
  <si>
    <t>46.1</t>
  </si>
  <si>
    <t>50.9</t>
  </si>
  <si>
    <t>56.7</t>
  </si>
  <si>
    <t>46.9</t>
  </si>
  <si>
    <t>34.5</t>
  </si>
  <si>
    <t>46.2</t>
  </si>
  <si>
    <t>68.9</t>
  </si>
  <si>
    <t>55.8</t>
  </si>
  <si>
    <t>51.3</t>
  </si>
  <si>
    <t>48.1</t>
  </si>
  <si>
    <t>60.3</t>
  </si>
  <si>
    <t>34.8</t>
  </si>
  <si>
    <t>37.1</t>
  </si>
  <si>
    <t>60.5</t>
  </si>
  <si>
    <t>58.6</t>
  </si>
  <si>
    <t>39.2</t>
  </si>
  <si>
    <t>65.5</t>
  </si>
  <si>
    <t>31.3</t>
  </si>
  <si>
    <t>37.4</t>
  </si>
  <si>
    <t>65.2</t>
  </si>
  <si>
    <t>68.1</t>
  </si>
  <si>
    <t>63.2</t>
  </si>
  <si>
    <t>55.4</t>
  </si>
  <si>
    <t>48.5</t>
  </si>
  <si>
    <t>41.8</t>
  </si>
  <si>
    <t>29.6</t>
  </si>
  <si>
    <t>36.8</t>
  </si>
  <si>
    <t>44.9</t>
  </si>
  <si>
    <t>59.8</t>
  </si>
  <si>
    <t>27.2</t>
  </si>
  <si>
    <t>4.64</t>
  </si>
  <si>
    <t>2.01</t>
  </si>
  <si>
    <t>2.15495</t>
  </si>
  <si>
    <t>2.05636</t>
  </si>
  <si>
    <t>1.69497</t>
  </si>
  <si>
    <t>2.22243</t>
  </si>
  <si>
    <t>2.16</t>
  </si>
  <si>
    <t>1.9</t>
  </si>
  <si>
    <t>5.75149</t>
  </si>
  <si>
    <t>6.18</t>
  </si>
  <si>
    <t>2.56</t>
  </si>
  <si>
    <t>3.814139</t>
  </si>
  <si>
    <t>5.41</t>
  </si>
  <si>
    <t>0.49</t>
  </si>
  <si>
    <t>2.8432</t>
  </si>
  <si>
    <t>1.66</t>
  </si>
  <si>
    <t>3.28464</t>
  </si>
  <si>
    <t>2.1784</t>
  </si>
  <si>
    <t>2.27</t>
  </si>
  <si>
    <t>2.81209</t>
  </si>
  <si>
    <t>7.14</t>
  </si>
  <si>
    <t>7.19992</t>
  </si>
  <si>
    <t>4.63696</t>
  </si>
  <si>
    <t>2.09</t>
  </si>
  <si>
    <t>2.35489</t>
  </si>
  <si>
    <t>6.29336</t>
  </si>
  <si>
    <t>1.7385</t>
  </si>
  <si>
    <t>2.7</t>
  </si>
  <si>
    <t>1.66114</t>
  </si>
  <si>
    <t>4.59</t>
  </si>
  <si>
    <t>5.16319</t>
  </si>
  <si>
    <t>2.9</t>
  </si>
  <si>
    <t>9.7353</t>
  </si>
  <si>
    <t>1.89</t>
  </si>
  <si>
    <t>3.1339</t>
  </si>
  <si>
    <t>4.34</t>
  </si>
  <si>
    <t>3.8433</t>
  </si>
  <si>
    <t>4.49</t>
  </si>
  <si>
    <t>4.6</t>
  </si>
  <si>
    <t>1.96686</t>
  </si>
  <si>
    <t>1.8083</t>
  </si>
  <si>
    <t>2.12108</t>
  </si>
  <si>
    <t>5.1833</t>
  </si>
  <si>
    <t>2.97027</t>
  </si>
  <si>
    <t>1.82351</t>
  </si>
  <si>
    <t>5.31269</t>
  </si>
  <si>
    <t>1.3</t>
  </si>
  <si>
    <t>5.7863</t>
  </si>
  <si>
    <t>6.78559</t>
  </si>
  <si>
    <t>5.25854</t>
  </si>
  <si>
    <t>1.884</t>
  </si>
  <si>
    <t>2.36282</t>
  </si>
  <si>
    <t>1.87769</t>
  </si>
  <si>
    <t>4.909403</t>
  </si>
  <si>
    <t>2.6641</t>
  </si>
  <si>
    <t>1.83844</t>
  </si>
  <si>
    <t>2.76318</t>
  </si>
  <si>
    <t>3.018238</t>
  </si>
  <si>
    <t>4.61</t>
  </si>
  <si>
    <t>1.55951</t>
  </si>
  <si>
    <t>1.98428</t>
  </si>
  <si>
    <t>1.85556</t>
  </si>
  <si>
    <t>5.3579</t>
  </si>
  <si>
    <t>2.912</t>
  </si>
  <si>
    <t>4.12736</t>
  </si>
  <si>
    <t>3.94</t>
  </si>
  <si>
    <t>1.486</t>
  </si>
  <si>
    <t>2.847</t>
  </si>
  <si>
    <t>1.73997</t>
  </si>
  <si>
    <t>1.49</t>
  </si>
  <si>
    <t>2.39</t>
  </si>
  <si>
    <t>1.24</t>
  </si>
  <si>
    <t>3.34194</t>
  </si>
  <si>
    <t>3.85</t>
  </si>
  <si>
    <t>5.33918</t>
  </si>
  <si>
    <t>3.75</t>
  </si>
  <si>
    <t>7.14558</t>
  </si>
  <si>
    <t>2.1103</t>
  </si>
  <si>
    <t>2.48</t>
  </si>
  <si>
    <t>4.32</t>
  </si>
  <si>
    <t>2.62</t>
  </si>
  <si>
    <t>2.71</t>
  </si>
  <si>
    <t>5.88</t>
  </si>
  <si>
    <t>2.03</t>
  </si>
  <si>
    <t>1.394</t>
  </si>
  <si>
    <t>2.14</t>
  </si>
  <si>
    <t>6.3</t>
  </si>
  <si>
    <t>2.77</t>
  </si>
  <si>
    <t>2.1745</t>
  </si>
  <si>
    <t>MOCK1 %  genomes</t>
  </si>
  <si>
    <t>MOCK2 %  genomes</t>
  </si>
  <si>
    <t>MOCK3 %  genomes</t>
  </si>
  <si>
    <t>Phylum NCBI</t>
  </si>
  <si>
    <t>Phylum GTBD</t>
  </si>
  <si>
    <t>Halobacteriota</t>
  </si>
  <si>
    <t>Bacteroidota</t>
  </si>
  <si>
    <t>Methanobacteriota_A</t>
  </si>
  <si>
    <t>Thermoproteota</t>
  </si>
  <si>
    <t>Methanobacteriota_B</t>
  </si>
  <si>
    <t>Desulfobacterota</t>
  </si>
  <si>
    <t>Spirochaetota</t>
  </si>
  <si>
    <t>Campylobacterota</t>
  </si>
  <si>
    <t>Deinococcota</t>
  </si>
  <si>
    <t>Deinococcus</t>
  </si>
  <si>
    <t>Gemmatimonadota</t>
  </si>
  <si>
    <t>Actinobacteriota</t>
  </si>
  <si>
    <t>Firmicutes_A</t>
  </si>
  <si>
    <t>Thermotogota</t>
  </si>
  <si>
    <t>Chloroflexota</t>
  </si>
  <si>
    <t>Proteobacteria (g)</t>
  </si>
  <si>
    <t>Verrucomicrobiota</t>
  </si>
  <si>
    <t>Aquificota</t>
  </si>
  <si>
    <t>Dictyoglomota</t>
  </si>
  <si>
    <t>Acidobacteriota</t>
  </si>
  <si>
    <t>Desulfobacterota_I</t>
  </si>
  <si>
    <t>Thermoplasmatota</t>
  </si>
  <si>
    <t>Methanobacteriota</t>
  </si>
  <si>
    <t>Planctomycetota</t>
  </si>
  <si>
    <t>Firmicutes_B</t>
  </si>
  <si>
    <t>Fusobacteriota</t>
  </si>
  <si>
    <t>Desulfovibrio mercurii ND 132</t>
  </si>
  <si>
    <t>Desulfovibrio_mercurii_ND_132</t>
  </si>
  <si>
    <t>Chlorobaculum_tepidum_TLS</t>
  </si>
  <si>
    <t xml:space="preserve">Chlorobaculum tepidum </t>
  </si>
  <si>
    <t xml:space="preserve">Organism Name GTDB release 07-RS207 </t>
  </si>
  <si>
    <t>Sulfurisphaera tokodaii</t>
  </si>
  <si>
    <t>Sulfurisphaera_tokodaii_str._7</t>
  </si>
  <si>
    <t>Cereibacter_A_sphaeroides_ATCC_17029</t>
  </si>
  <si>
    <t>Micromonospora_tropica_CNB-440</t>
  </si>
  <si>
    <t>Micromonospora tropica</t>
  </si>
  <si>
    <t>Micromonospora_arenicola_CNS-205</t>
  </si>
  <si>
    <t>Micromonospora arenicola</t>
  </si>
  <si>
    <t>Herpetosiphon aurantiacus</t>
  </si>
  <si>
    <t>Thermotoga_maritima_RQ2</t>
  </si>
  <si>
    <t xml:space="preserve">Escherichia coli </t>
  </si>
  <si>
    <t xml:space="preserve">Halobacterium salinarum </t>
  </si>
  <si>
    <t xml:space="preserve">Pyrobaculum aerophilum </t>
  </si>
  <si>
    <t xml:space="preserve">Streptococcus agalactiae </t>
  </si>
  <si>
    <t xml:space="preserve">Methanosarcina acetivorans </t>
  </si>
  <si>
    <t>Pseudomonas putida</t>
  </si>
  <si>
    <t>Staphylococcus epidermidis</t>
  </si>
  <si>
    <t>Geobacter sulfurreducens</t>
  </si>
  <si>
    <t xml:space="preserve">Bacillus cereus </t>
  </si>
  <si>
    <t xml:space="preserve">Helicobacter pylori </t>
  </si>
  <si>
    <t xml:space="preserve">Deinococcus radiodurans </t>
  </si>
  <si>
    <t>Neisseria meningitidis</t>
  </si>
  <si>
    <t xml:space="preserve">Pseudomonas fluorescens </t>
  </si>
  <si>
    <t xml:space="preserve">Trichormus sp000009705 </t>
  </si>
  <si>
    <t>Trichormus_sp._PCC_7120</t>
  </si>
  <si>
    <t xml:space="preserve">Bifidobacterium adolescentis </t>
  </si>
  <si>
    <t>Methanococcus maripaludis</t>
  </si>
  <si>
    <t>Staphylococcus aureus</t>
  </si>
  <si>
    <t>Paraburkholderia xenovorans</t>
  </si>
  <si>
    <t xml:space="preserve">Acinetobacter baumannii </t>
  </si>
  <si>
    <t>Cereibacter A sphaeroides</t>
  </si>
  <si>
    <t xml:space="preserve">Shewanella loihica </t>
  </si>
  <si>
    <t xml:space="preserve">Methanococcus maripaludis </t>
  </si>
  <si>
    <t xml:space="preserve">Thermotoga petrophila </t>
  </si>
  <si>
    <t xml:space="preserve">Shewanella baltica </t>
  </si>
  <si>
    <t xml:space="preserve">Chloroflexus aurantiacus </t>
  </si>
  <si>
    <t xml:space="preserve">Thermotoga neapolitana </t>
  </si>
  <si>
    <t>Thermotoga maritima</t>
  </si>
  <si>
    <t>RQ2</t>
  </si>
  <si>
    <t>Sulfurihydrogenibium sp000020325</t>
  </si>
  <si>
    <t>YO3AOP1</t>
  </si>
  <si>
    <t>Hydrogenobaculum sp000020785</t>
  </si>
  <si>
    <t>Persephonella marina</t>
  </si>
  <si>
    <t>Pauljensenia odontolytica_A</t>
  </si>
  <si>
    <t>Pauljensenia_odontolyticus_ATCC_17982</t>
  </si>
  <si>
    <t>Bordetella pertussis</t>
  </si>
  <si>
    <t>Bordetella_pertussis_RB50</t>
  </si>
  <si>
    <t>Nitratidesulfovibrio vulgaris</t>
  </si>
  <si>
    <t>Nitratidesulfovibrio_vulgaris_Hildenborough</t>
  </si>
  <si>
    <t>Cutibacterium acnes</t>
  </si>
  <si>
    <t>Cutibacterium_acnes_ATCC_11828</t>
  </si>
  <si>
    <t>Phocaeicola vulgatus</t>
  </si>
  <si>
    <t>Phocaeicola_vulgatus_ATCC_8482</t>
  </si>
  <si>
    <t>Phylogenetic_position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</si>
</sst>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3" x14ac:knownFonts="1"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2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 applyFill="1" applyAlignment="1">
      <alignment horizontal="center" wrapText="1"/>
    </xf>
    <xf numFmtId="49" fontId="0" fillId="0" borderId="0" xfId="0" applyNumberFormat="1" applyFont="1" applyAlignment="1">
      <alignment horizontal="left" vertical="center" wrapText="1"/>
    </xf>
    <xf numFmtId="49" fontId="0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3" borderId="0" xfId="0" applyNumberFormat="1" applyFill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 wrapText="1"/>
    </xf>
    <xf numFmtId="165" fontId="0" fillId="5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wrapText="1"/>
    </xf>
    <xf numFmtId="165" fontId="0" fillId="0" borderId="0" xfId="0" applyNumberFormat="1" applyFill="1" applyAlignment="1">
      <alignment horizont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20"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CC66"/>
      <color rgb="FF0066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meslier/Documents/08_Work_with_Mathieu/Mock_paper/DATA/FINAL_scripts_data_for_github/data_genome_mock_composit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_genome_mock_composition"/>
    </sheetNames>
    <sheetDataSet>
      <sheetData sheetId="0">
        <row r="1">
          <cell r="E1" t="str">
            <v>Genbank_Assembly_Accession_ID</v>
          </cell>
          <cell r="F1" t="str">
            <v>Kingdom</v>
          </cell>
          <cell r="G1" t="str">
            <v>Phylum</v>
          </cell>
          <cell r="H1" t="str">
            <v>Genome_Size_Mbp</v>
          </cell>
          <cell r="I1" t="str">
            <v>N_scaffolds</v>
          </cell>
          <cell r="J1" t="str">
            <v>N_Ns</v>
          </cell>
          <cell r="K1" t="str">
            <v>Genome_Status</v>
          </cell>
          <cell r="L1" t="str">
            <v>Notes</v>
          </cell>
          <cell r="M1" t="str">
            <v>GC_perc</v>
          </cell>
          <cell r="N1" t="str">
            <v>N_rRNA_operons</v>
          </cell>
          <cell r="O1" t="str">
            <v>mock1_perc</v>
          </cell>
          <cell r="P1" t="str">
            <v>mock2_perc</v>
          </cell>
          <cell r="Q1" t="str">
            <v>mock3_perc</v>
          </cell>
          <cell r="R1" t="str">
            <v>phylogenetic_position</v>
          </cell>
        </row>
        <row r="2">
          <cell r="E2" t="str">
            <v>GCA_000005845.2</v>
          </cell>
          <cell r="F2" t="str">
            <v>Bacteria</v>
          </cell>
          <cell r="G2" t="str">
            <v>Proteobacteria (g)</v>
          </cell>
          <cell r="H2" t="str">
            <v>4.64</v>
          </cell>
          <cell r="I2">
            <v>1</v>
          </cell>
          <cell r="J2">
            <v>0</v>
          </cell>
          <cell r="K2" t="str">
            <v>Complete</v>
          </cell>
          <cell r="L2" t="str">
            <v>NA</v>
          </cell>
          <cell r="M2" t="str">
            <v>50.8</v>
          </cell>
          <cell r="N2">
            <v>7</v>
          </cell>
          <cell r="O2" t="str">
            <v>NP</v>
          </cell>
          <cell r="P2" t="str">
            <v>4.3258161088996876E-2</v>
          </cell>
          <cell r="Q2" t="str">
            <v>NP</v>
          </cell>
          <cell r="R2">
            <v>84</v>
          </cell>
        </row>
        <row r="3">
          <cell r="E3" t="str">
            <v>GCA_000006805.1</v>
          </cell>
          <cell r="F3" t="str">
            <v>Archaea</v>
          </cell>
          <cell r="G3" t="str">
            <v>Euryarchaeota</v>
          </cell>
          <cell r="H3" t="str">
            <v>2.01</v>
          </cell>
          <cell r="I3">
            <v>3</v>
          </cell>
          <cell r="J3">
            <v>0</v>
          </cell>
          <cell r="K3" t="str">
            <v>Complete</v>
          </cell>
          <cell r="L3" t="str">
            <v>2 plasmids</v>
          </cell>
          <cell r="M3" t="str">
            <v>67.9</v>
          </cell>
          <cell r="N3">
            <v>1</v>
          </cell>
          <cell r="O3" t="str">
            <v>2.5322931915107527</v>
          </cell>
          <cell r="P3" t="str">
            <v>2.4964908887182302</v>
          </cell>
          <cell r="Q3" t="str">
            <v>2.4941000983475301</v>
          </cell>
          <cell r="R3">
            <v>22</v>
          </cell>
        </row>
        <row r="4">
          <cell r="E4" t="str">
            <v>GCA_000006985.1</v>
          </cell>
          <cell r="F4" t="str">
            <v>Bacteria</v>
          </cell>
          <cell r="G4" t="str">
            <v>Chlorobi</v>
          </cell>
          <cell r="H4" t="str">
            <v>2.15495</v>
          </cell>
          <cell r="I4">
            <v>1</v>
          </cell>
          <cell r="J4">
            <v>0</v>
          </cell>
          <cell r="K4" t="str">
            <v>Complete</v>
          </cell>
          <cell r="L4" t="str">
            <v>NA</v>
          </cell>
          <cell r="M4" t="str">
            <v>56.5</v>
          </cell>
          <cell r="N4">
            <v>2</v>
          </cell>
          <cell r="O4" t="str">
            <v>0.24328205268728792</v>
          </cell>
          <cell r="P4" t="str">
            <v>0.23984245977462795</v>
          </cell>
          <cell r="Q4" t="str">
            <v>0.60019509919072922</v>
          </cell>
          <cell r="R4">
            <v>61</v>
          </cell>
        </row>
        <row r="5">
          <cell r="E5" t="str">
            <v>GCA_000007105.1</v>
          </cell>
          <cell r="F5" t="str">
            <v>Bacteria</v>
          </cell>
          <cell r="G5" t="str">
            <v>Proteobacteria (a)</v>
          </cell>
          <cell r="H5" t="str">
            <v>2.05636</v>
          </cell>
          <cell r="I5">
            <v>1</v>
          </cell>
          <cell r="J5">
            <v>0</v>
          </cell>
          <cell r="K5" t="str">
            <v>Complete</v>
          </cell>
          <cell r="L5" t="str">
            <v>NA</v>
          </cell>
          <cell r="M5" t="str">
            <v>46.3</v>
          </cell>
          <cell r="N5">
            <v>3</v>
          </cell>
          <cell r="O5" t="str">
            <v>NP</v>
          </cell>
          <cell r="P5" t="str">
            <v>NP</v>
          </cell>
          <cell r="Q5" t="str">
            <v>4.8757427665180549E-2</v>
          </cell>
          <cell r="R5">
            <v>76</v>
          </cell>
        </row>
        <row r="6">
          <cell r="E6" t="str">
            <v>GCA_000007185.1</v>
          </cell>
          <cell r="F6" t="str">
            <v>Archaea</v>
          </cell>
          <cell r="G6" t="str">
            <v>Euryarchaeota</v>
          </cell>
          <cell r="H6" t="str">
            <v>1.69497</v>
          </cell>
          <cell r="I6">
            <v>1</v>
          </cell>
          <cell r="J6">
            <v>0</v>
          </cell>
          <cell r="K6" t="str">
            <v>Complete</v>
          </cell>
          <cell r="L6" t="str">
            <v>NA</v>
          </cell>
          <cell r="M6" t="str">
            <v>61.2</v>
          </cell>
          <cell r="N6">
            <v>1</v>
          </cell>
          <cell r="O6" t="str">
            <v>0.21020646503806134</v>
          </cell>
          <cell r="P6" t="str">
            <v>0.20723450447067179</v>
          </cell>
          <cell r="Q6" t="str">
            <v>0.26027388413701186</v>
          </cell>
          <cell r="R6">
            <v>11</v>
          </cell>
        </row>
        <row r="7">
          <cell r="E7" t="str">
            <v>GCA_000007225.1</v>
          </cell>
          <cell r="F7" t="str">
            <v>Archaea</v>
          </cell>
          <cell r="G7" t="str">
            <v>Crenarchaeota</v>
          </cell>
          <cell r="H7" t="str">
            <v>2.22243</v>
          </cell>
          <cell r="I7">
            <v>1</v>
          </cell>
          <cell r="J7">
            <v>0</v>
          </cell>
          <cell r="K7" t="str">
            <v>Complete</v>
          </cell>
          <cell r="L7" t="str">
            <v>NA</v>
          </cell>
          <cell r="M7" t="str">
            <v>51.4</v>
          </cell>
          <cell r="N7">
            <v>1</v>
          </cell>
          <cell r="O7" t="str">
            <v>0.22902450538089439</v>
          </cell>
          <cell r="P7" t="str">
            <v>0.22578648984776287</v>
          </cell>
          <cell r="Q7" t="str">
            <v>0.11278513153796822</v>
          </cell>
          <cell r="R7">
            <v>3</v>
          </cell>
        </row>
        <row r="8">
          <cell r="E8" t="str">
            <v>GCA_000007265.1</v>
          </cell>
          <cell r="F8" t="str">
            <v>Bacteria</v>
          </cell>
          <cell r="G8" t="str">
            <v>Firmicutes</v>
          </cell>
          <cell r="H8" t="str">
            <v>2.16</v>
          </cell>
          <cell r="I8">
            <v>1</v>
          </cell>
          <cell r="J8">
            <v>0</v>
          </cell>
          <cell r="K8" t="str">
            <v>Complete</v>
          </cell>
          <cell r="L8" t="str">
            <v>NA</v>
          </cell>
          <cell r="M8" t="str">
            <v>35.6</v>
          </cell>
          <cell r="N8">
            <v>7</v>
          </cell>
          <cell r="O8" t="str">
            <v>NP</v>
          </cell>
          <cell r="P8" t="str">
            <v>9.29249386356229E-2</v>
          </cell>
          <cell r="Q8" t="str">
            <v>NP</v>
          </cell>
          <cell r="R8">
            <v>43</v>
          </cell>
        </row>
        <row r="9">
          <cell r="E9" t="str">
            <v>GCA_000007305.1</v>
          </cell>
          <cell r="F9" t="str">
            <v>Archaea</v>
          </cell>
          <cell r="G9" t="str">
            <v>Euryarchaeota</v>
          </cell>
          <cell r="H9" t="str">
            <v>1.9</v>
          </cell>
          <cell r="I9">
            <v>1</v>
          </cell>
          <cell r="J9">
            <v>1</v>
          </cell>
          <cell r="K9" t="str">
            <v>Complete</v>
          </cell>
          <cell r="L9" t="str">
            <v>NA</v>
          </cell>
          <cell r="M9" t="str">
            <v>40.8</v>
          </cell>
          <cell r="N9">
            <v>1</v>
          </cell>
          <cell r="O9" t="str">
            <v>0.40183494591604835</v>
          </cell>
          <cell r="P9" t="str">
            <v>0.39615368576239246</v>
          </cell>
          <cell r="Q9" t="str">
            <v>NP</v>
          </cell>
          <cell r="R9">
            <v>9</v>
          </cell>
        </row>
        <row r="10">
          <cell r="E10" t="str">
            <v>GCA_000007345.1</v>
          </cell>
          <cell r="F10" t="str">
            <v>Archaea</v>
          </cell>
          <cell r="G10" t="str">
            <v>Euryarchaeota</v>
          </cell>
          <cell r="H10" t="str">
            <v>5.75149</v>
          </cell>
          <cell r="I10">
            <v>1</v>
          </cell>
          <cell r="J10">
            <v>0</v>
          </cell>
          <cell r="K10" t="str">
            <v>Complete</v>
          </cell>
          <cell r="L10" t="str">
            <v>NA</v>
          </cell>
          <cell r="M10" t="str">
            <v>42.7</v>
          </cell>
          <cell r="N10">
            <v>3</v>
          </cell>
          <cell r="O10" t="str">
            <v>0.17699445934659061</v>
          </cell>
          <cell r="P10" t="str">
            <v>0.17449205984270635</v>
          </cell>
          <cell r="Q10" t="str">
            <v>0.17432495571333809</v>
          </cell>
          <cell r="R10">
            <v>21</v>
          </cell>
        </row>
        <row r="11">
          <cell r="E11" t="str">
            <v>GCA_000007565.2</v>
          </cell>
          <cell r="F11" t="str">
            <v>Bacteria</v>
          </cell>
          <cell r="G11" t="str">
            <v>Proteobacteria (g)</v>
          </cell>
          <cell r="H11" t="str">
            <v>6.18</v>
          </cell>
          <cell r="I11">
            <v>1</v>
          </cell>
          <cell r="J11">
            <v>0</v>
          </cell>
          <cell r="K11" t="str">
            <v>Complete</v>
          </cell>
          <cell r="L11" t="str">
            <v>NA</v>
          </cell>
          <cell r="M11" t="str">
            <v>61.5</v>
          </cell>
          <cell r="N11">
            <v>7</v>
          </cell>
          <cell r="O11" t="str">
            <v>1.4824978587194015</v>
          </cell>
          <cell r="P11" t="str">
            <v>1.4615378698030008</v>
          </cell>
          <cell r="Q11" t="str">
            <v>1.1843343282541523</v>
          </cell>
          <cell r="R11">
            <v>91</v>
          </cell>
        </row>
        <row r="12">
          <cell r="E12" t="str">
            <v>GCA_000007645.1</v>
          </cell>
          <cell r="F12" t="str">
            <v>Bacteria</v>
          </cell>
          <cell r="G12" t="str">
            <v>Firmicutes</v>
          </cell>
          <cell r="H12" t="str">
            <v>2.56</v>
          </cell>
          <cell r="I12">
            <v>7</v>
          </cell>
          <cell r="J12">
            <v>0</v>
          </cell>
          <cell r="K12" t="str">
            <v>Complete</v>
          </cell>
          <cell r="L12" t="str">
            <v>6 plasmids</v>
          </cell>
          <cell r="M12">
            <v>32</v>
          </cell>
          <cell r="N12">
            <v>5</v>
          </cell>
          <cell r="O12" t="str">
            <v>NP</v>
          </cell>
          <cell r="P12" t="str">
            <v>7.8405416973806819E-2</v>
          </cell>
          <cell r="Q12" t="str">
            <v>NP</v>
          </cell>
          <cell r="R12">
            <v>40</v>
          </cell>
        </row>
        <row r="13">
          <cell r="E13" t="str">
            <v>GCA_000007985.2</v>
          </cell>
          <cell r="F13" t="str">
            <v>Bacteria</v>
          </cell>
          <cell r="G13" t="str">
            <v>Proteobacteria (d)</v>
          </cell>
          <cell r="H13" t="str">
            <v>3.814139</v>
          </cell>
          <cell r="I13">
            <v>1</v>
          </cell>
          <cell r="J13">
            <v>0</v>
          </cell>
          <cell r="K13" t="str">
            <v>Complete</v>
          </cell>
          <cell r="L13" t="str">
            <v>NA</v>
          </cell>
          <cell r="M13" t="str">
            <v>60.9</v>
          </cell>
          <cell r="N13">
            <v>2</v>
          </cell>
          <cell r="O13" t="str">
            <v>0.58717317291585591</v>
          </cell>
          <cell r="P13" t="str">
            <v>0.57887154662753526</v>
          </cell>
          <cell r="Q13" t="str">
            <v>0.10120550725111149</v>
          </cell>
          <cell r="R13">
            <v>68</v>
          </cell>
        </row>
        <row r="14">
          <cell r="E14" t="str">
            <v>GCA_000008005.1</v>
          </cell>
          <cell r="F14" t="str">
            <v>Bacteria</v>
          </cell>
          <cell r="G14" t="str">
            <v>Firmicutes</v>
          </cell>
          <cell r="H14" t="str">
            <v>5.41</v>
          </cell>
          <cell r="I14">
            <v>2</v>
          </cell>
          <cell r="J14">
            <v>30</v>
          </cell>
          <cell r="K14" t="str">
            <v>Complete</v>
          </cell>
          <cell r="L14" t="str">
            <v>1 plasmid</v>
          </cell>
          <cell r="M14" t="str">
            <v>35.3</v>
          </cell>
          <cell r="N14">
            <v>12</v>
          </cell>
          <cell r="O14" t="str">
            <v>NP</v>
          </cell>
          <cell r="P14" t="str">
            <v>3.710126939980507E-2</v>
          </cell>
          <cell r="Q14" t="str">
            <v>NP</v>
          </cell>
          <cell r="R14">
            <v>38</v>
          </cell>
        </row>
        <row r="15">
          <cell r="E15" t="str">
            <v>GCA_000008085.1</v>
          </cell>
          <cell r="F15" t="str">
            <v>Archaea</v>
          </cell>
          <cell r="G15" t="str">
            <v>Nanoarchaeota</v>
          </cell>
          <cell r="H15" t="str">
            <v>0.49</v>
          </cell>
          <cell r="I15">
            <v>1</v>
          </cell>
          <cell r="J15">
            <v>0</v>
          </cell>
          <cell r="K15" t="str">
            <v>Complete</v>
          </cell>
          <cell r="L15" t="str">
            <v>NA</v>
          </cell>
          <cell r="M15" t="str">
            <v>31.6</v>
          </cell>
          <cell r="N15">
            <v>1</v>
          </cell>
          <cell r="O15" t="str">
            <v>0.95565644280442541</v>
          </cell>
          <cell r="P15" t="str">
            <v>0.94214509212607067</v>
          </cell>
          <cell r="Q15" t="str">
            <v>0.62408492460896037</v>
          </cell>
          <cell r="R15">
            <v>1</v>
          </cell>
        </row>
        <row r="16">
          <cell r="E16" t="str">
            <v>GCA_000008185.1</v>
          </cell>
          <cell r="F16" t="str">
            <v>Bacteria</v>
          </cell>
          <cell r="G16" t="str">
            <v>Spirochaetes</v>
          </cell>
          <cell r="H16" t="str">
            <v>2.8432</v>
          </cell>
          <cell r="I16">
            <v>1</v>
          </cell>
          <cell r="J16">
            <v>0</v>
          </cell>
          <cell r="K16" t="str">
            <v>Complete</v>
          </cell>
          <cell r="L16" t="str">
            <v>NA</v>
          </cell>
          <cell r="M16" t="str">
            <v>37.9</v>
          </cell>
          <cell r="N16">
            <v>2</v>
          </cell>
          <cell r="O16" t="str">
            <v>1.2674647562518013</v>
          </cell>
          <cell r="P16" t="str">
            <v>1.2495449683163811</v>
          </cell>
          <cell r="Q16" t="str">
            <v>1.5604354107855598</v>
          </cell>
          <cell r="R16">
            <v>50</v>
          </cell>
        </row>
        <row r="17">
          <cell r="E17" t="str">
            <v>GCA_000008525.1</v>
          </cell>
          <cell r="F17" t="str">
            <v>Bacteria</v>
          </cell>
          <cell r="G17" t="str">
            <v>Proteobacteria (e)</v>
          </cell>
          <cell r="H17" t="str">
            <v>1.66</v>
          </cell>
          <cell r="I17">
            <v>1</v>
          </cell>
          <cell r="J17">
            <v>8</v>
          </cell>
          <cell r="K17" t="str">
            <v>Complete</v>
          </cell>
          <cell r="L17" t="str">
            <v>NA</v>
          </cell>
          <cell r="M17" t="str">
            <v>38.9</v>
          </cell>
          <cell r="N17">
            <v>2</v>
          </cell>
          <cell r="O17" t="str">
            <v>NP</v>
          </cell>
          <cell r="P17" t="str">
            <v>0.1209143779837021</v>
          </cell>
          <cell r="Q17" t="str">
            <v>NP</v>
          </cell>
          <cell r="R17">
            <v>74</v>
          </cell>
        </row>
        <row r="18">
          <cell r="E18" t="str">
            <v>GCA_000008565.1</v>
          </cell>
          <cell r="F18" t="str">
            <v>Bacteria</v>
          </cell>
          <cell r="G18" t="str">
            <v>DeinococcI</v>
          </cell>
          <cell r="H18" t="str">
            <v>3.28464</v>
          </cell>
          <cell r="I18">
            <v>4</v>
          </cell>
          <cell r="J18">
            <v>27</v>
          </cell>
          <cell r="K18" t="str">
            <v>Complete</v>
          </cell>
          <cell r="L18" t="str">
            <v>2 chromosomes 2 plasmids</v>
          </cell>
          <cell r="M18" t="str">
            <v>66.6</v>
          </cell>
          <cell r="N18">
            <v>3</v>
          </cell>
          <cell r="O18" t="str">
            <v>0.6198437959638331</v>
          </cell>
          <cell r="P18" t="str">
            <v>0.67126240993609865</v>
          </cell>
          <cell r="Q18" t="str">
            <v>0.45787129161903911</v>
          </cell>
          <cell r="R18">
            <v>24</v>
          </cell>
        </row>
        <row r="19">
          <cell r="E19" t="str">
            <v>GCA_000008665.1</v>
          </cell>
          <cell r="F19" t="str">
            <v>Archaea</v>
          </cell>
          <cell r="G19" t="str">
            <v>Euryarchaeota</v>
          </cell>
          <cell r="H19" t="str">
            <v>2.1784</v>
          </cell>
          <cell r="I19">
            <v>1</v>
          </cell>
          <cell r="J19">
            <v>0</v>
          </cell>
          <cell r="K19" t="str">
            <v>Complete</v>
          </cell>
          <cell r="L19" t="str">
            <v>NA</v>
          </cell>
          <cell r="M19" t="str">
            <v>48.6</v>
          </cell>
          <cell r="N19">
            <v>1</v>
          </cell>
          <cell r="O19" t="str">
            <v>1.168267837618576</v>
          </cell>
          <cell r="P19" t="str">
            <v>1.1517505247713085</v>
          </cell>
          <cell r="Q19" t="str">
            <v>0.92051803115654329</v>
          </cell>
          <cell r="R19">
            <v>19</v>
          </cell>
        </row>
        <row r="20">
          <cell r="E20" t="str">
            <v>GCA_000008805.1</v>
          </cell>
          <cell r="F20" t="str">
            <v>Bacteria</v>
          </cell>
          <cell r="G20" t="str">
            <v>Proteobacteria (b)</v>
          </cell>
          <cell r="H20" t="str">
            <v>2.27</v>
          </cell>
          <cell r="I20">
            <v>1</v>
          </cell>
          <cell r="J20">
            <v>0</v>
          </cell>
          <cell r="K20" t="str">
            <v>Complete</v>
          </cell>
          <cell r="L20" t="str">
            <v>NA</v>
          </cell>
          <cell r="M20" t="str">
            <v>51.5</v>
          </cell>
          <cell r="N20">
            <v>4</v>
          </cell>
          <cell r="O20" t="str">
            <v>NP</v>
          </cell>
          <cell r="P20" t="str">
            <v>8.8421968040945154E-2</v>
          </cell>
          <cell r="Q20" t="str">
            <v>NP</v>
          </cell>
          <cell r="R20">
            <v>79</v>
          </cell>
        </row>
        <row r="21">
          <cell r="E21" t="str">
            <v>GCA_000009145.1</v>
          </cell>
          <cell r="F21" t="str">
            <v>Bacteria</v>
          </cell>
          <cell r="G21" t="str">
            <v>Proteobacteria (b)</v>
          </cell>
          <cell r="H21" t="str">
            <v>2.81209</v>
          </cell>
          <cell r="I21">
            <v>1</v>
          </cell>
          <cell r="J21">
            <v>0</v>
          </cell>
          <cell r="K21" t="str">
            <v>Complete</v>
          </cell>
          <cell r="L21" t="str">
            <v>NA</v>
          </cell>
          <cell r="M21" t="str">
            <v>50.7</v>
          </cell>
          <cell r="N21">
            <v>1</v>
          </cell>
          <cell r="O21" t="str">
            <v>5.6834294951089621</v>
          </cell>
          <cell r="P21" t="str">
            <v>5.6030755043601799</v>
          </cell>
          <cell r="Q21" t="str">
            <v>2.7988548305193994</v>
          </cell>
          <cell r="R21">
            <v>80</v>
          </cell>
        </row>
        <row r="22">
          <cell r="E22" t="str">
            <v>GCA_000009225.1</v>
          </cell>
          <cell r="F22" t="str">
            <v>Bacteria</v>
          </cell>
          <cell r="G22" t="str">
            <v>Proteobacteria (g)</v>
          </cell>
          <cell r="H22" t="str">
            <v>7.14</v>
          </cell>
          <cell r="I22">
            <v>1</v>
          </cell>
          <cell r="J22">
            <v>0</v>
          </cell>
          <cell r="K22" t="str">
            <v>Complete</v>
          </cell>
          <cell r="L22" t="str">
            <v>NA</v>
          </cell>
          <cell r="M22">
            <v>60</v>
          </cell>
          <cell r="N22">
            <v>6</v>
          </cell>
          <cell r="O22" t="str">
            <v>1.069308679608532</v>
          </cell>
          <cell r="P22" t="str">
            <v>1.0541904803200917</v>
          </cell>
          <cell r="Q22" t="str">
            <v>0.35106030796068177</v>
          </cell>
          <cell r="R22">
            <v>90</v>
          </cell>
        </row>
        <row r="23">
          <cell r="E23" t="str">
            <v>GCA_000009705.1</v>
          </cell>
          <cell r="F23" t="str">
            <v>Bacteria</v>
          </cell>
          <cell r="G23" t="str">
            <v>Cyanobacteria</v>
          </cell>
          <cell r="H23" t="str">
            <v>7.19992</v>
          </cell>
          <cell r="I23">
            <v>7</v>
          </cell>
          <cell r="J23">
            <v>0</v>
          </cell>
          <cell r="K23" t="str">
            <v>Complete</v>
          </cell>
          <cell r="L23" t="str">
            <v>6 plasmids</v>
          </cell>
          <cell r="M23" t="str">
            <v>41.3</v>
          </cell>
          <cell r="N23">
            <v>4</v>
          </cell>
          <cell r="O23" t="str">
            <v>1.3714630261137666</v>
          </cell>
          <cell r="P23" t="str">
            <v>1.3520728801803152</v>
          </cell>
          <cell r="Q23" t="str">
            <v>2.0261670803626339</v>
          </cell>
          <cell r="R23">
            <v>46</v>
          </cell>
        </row>
        <row r="24">
          <cell r="E24" t="str">
            <v>GCA_000010305.1</v>
          </cell>
          <cell r="F24" t="str">
            <v>Bacteria</v>
          </cell>
          <cell r="G24" t="str">
            <v>Gemmatimonadetes</v>
          </cell>
          <cell r="H24" t="str">
            <v>4.63696</v>
          </cell>
          <cell r="I24">
            <v>1</v>
          </cell>
          <cell r="J24">
            <v>0</v>
          </cell>
          <cell r="K24" t="str">
            <v>Complete</v>
          </cell>
          <cell r="L24" t="str">
            <v>NA</v>
          </cell>
          <cell r="M24" t="str">
            <v>64.3</v>
          </cell>
          <cell r="N24">
            <v>1</v>
          </cell>
          <cell r="O24" t="str">
            <v>2.4149012484171841</v>
          </cell>
          <cell r="P24" t="str">
            <v>2.38075866729754</v>
          </cell>
          <cell r="Q24" t="str">
            <v>2.378478709088018</v>
          </cell>
          <cell r="R24">
            <v>56</v>
          </cell>
        </row>
        <row r="25">
          <cell r="E25" t="str">
            <v>GCA_000010425.1</v>
          </cell>
          <cell r="F25" t="str">
            <v>Bacteria</v>
          </cell>
          <cell r="G25" t="str">
            <v>Actinobacteria</v>
          </cell>
          <cell r="H25" t="str">
            <v>2.09</v>
          </cell>
          <cell r="I25">
            <v>1</v>
          </cell>
          <cell r="J25">
            <v>1</v>
          </cell>
          <cell r="K25" t="str">
            <v>Complete</v>
          </cell>
          <cell r="L25" t="str">
            <v>NA</v>
          </cell>
          <cell r="M25" t="str">
            <v>59.2</v>
          </cell>
          <cell r="N25">
            <v>5</v>
          </cell>
          <cell r="O25" t="str">
            <v>NP</v>
          </cell>
          <cell r="P25" t="str">
            <v>9.603725715451937E-2</v>
          </cell>
          <cell r="Q25" t="str">
            <v>NP</v>
          </cell>
          <cell r="R25">
            <v>55</v>
          </cell>
        </row>
        <row r="26">
          <cell r="E26" t="str">
            <v>GCA_000010505.1</v>
          </cell>
          <cell r="F26" t="str">
            <v>Bacteria</v>
          </cell>
          <cell r="G26" t="str">
            <v>Bacteroidetes</v>
          </cell>
          <cell r="H26" t="str">
            <v>2.35489</v>
          </cell>
          <cell r="I26">
            <v>1</v>
          </cell>
          <cell r="J26">
            <v>0</v>
          </cell>
          <cell r="K26" t="str">
            <v>Complete</v>
          </cell>
          <cell r="L26" t="str">
            <v>NA</v>
          </cell>
          <cell r="M26" t="str">
            <v>48.4</v>
          </cell>
          <cell r="N26">
            <v>4</v>
          </cell>
          <cell r="O26" t="str">
            <v>2.1700669467348193</v>
          </cell>
          <cell r="P26" t="str">
            <v>2.2277198391710948</v>
          </cell>
          <cell r="Q26" t="str">
            <v>4.2746741991933792</v>
          </cell>
          <cell r="R26">
            <v>58</v>
          </cell>
        </row>
        <row r="27">
          <cell r="E27" t="str">
            <v>GCA_000011065.1</v>
          </cell>
          <cell r="F27" t="str">
            <v>Bacteria</v>
          </cell>
          <cell r="G27" t="str">
            <v>Bacteroidetes</v>
          </cell>
          <cell r="H27" t="str">
            <v>6.29336</v>
          </cell>
          <cell r="I27">
            <v>2</v>
          </cell>
          <cell r="J27">
            <v>0</v>
          </cell>
          <cell r="K27" t="str">
            <v>Complete</v>
          </cell>
          <cell r="L27" t="str">
            <v>1 plasmid</v>
          </cell>
          <cell r="M27" t="str">
            <v>42.9</v>
          </cell>
          <cell r="N27">
            <v>5</v>
          </cell>
          <cell r="O27" t="str">
            <v>0.32350981446709626</v>
          </cell>
          <cell r="P27" t="str">
            <v>0.31893593796151093</v>
          </cell>
          <cell r="Q27" t="str">
            <v>0.19914406603461962</v>
          </cell>
          <cell r="R27">
            <v>59</v>
          </cell>
        </row>
        <row r="28">
          <cell r="E28" t="str">
            <v>GCA_000011105.1</v>
          </cell>
          <cell r="F28" t="str">
            <v>Archaea</v>
          </cell>
          <cell r="G28" t="str">
            <v>Euryarchaeota</v>
          </cell>
          <cell r="H28" t="str">
            <v>1.7385</v>
          </cell>
          <cell r="I28">
            <v>1</v>
          </cell>
          <cell r="J28">
            <v>0</v>
          </cell>
          <cell r="K28" t="str">
            <v>Complete</v>
          </cell>
          <cell r="L28" t="str">
            <v>NA</v>
          </cell>
          <cell r="M28" t="str">
            <v>41.9</v>
          </cell>
          <cell r="N28">
            <v>1</v>
          </cell>
          <cell r="O28" t="str">
            <v>5.8555183375744742</v>
          </cell>
          <cell r="P28" t="str">
            <v>5.7727313043700166</v>
          </cell>
          <cell r="Q28" t="str">
            <v>7.209003735517018</v>
          </cell>
          <cell r="R28">
            <v>10</v>
          </cell>
        </row>
        <row r="29">
          <cell r="E29" t="str">
            <v>GCA_000011205.1</v>
          </cell>
          <cell r="F29" t="str">
            <v>Archaea</v>
          </cell>
          <cell r="G29" t="str">
            <v>Crenarchaeota</v>
          </cell>
          <cell r="H29" t="str">
            <v>2.7</v>
          </cell>
          <cell r="I29">
            <v>1</v>
          </cell>
          <cell r="J29">
            <v>0</v>
          </cell>
          <cell r="K29" t="str">
            <v>Complete</v>
          </cell>
          <cell r="L29" t="str">
            <v>NA</v>
          </cell>
          <cell r="M29" t="str">
            <v>32.8</v>
          </cell>
          <cell r="N29">
            <v>1</v>
          </cell>
          <cell r="O29" t="str">
            <v>7.5406063924986846E-2</v>
          </cell>
          <cell r="P29" t="str">
            <v>7.4339950908498306E-2</v>
          </cell>
          <cell r="Q29" t="str">
            <v>7.4268758484126438E-2</v>
          </cell>
          <cell r="R29">
            <v>5</v>
          </cell>
        </row>
        <row r="30">
          <cell r="E30" t="str">
            <v>GCA_000011585.1</v>
          </cell>
          <cell r="F30" t="str">
            <v>Archaea</v>
          </cell>
          <cell r="G30" t="str">
            <v>Euryarchaeota</v>
          </cell>
          <cell r="H30" t="str">
            <v>1.66114</v>
          </cell>
          <cell r="I30">
            <v>1</v>
          </cell>
          <cell r="J30">
            <v>0</v>
          </cell>
          <cell r="K30" t="str">
            <v>Complete</v>
          </cell>
          <cell r="L30" t="str">
            <v>NA</v>
          </cell>
          <cell r="M30" t="str">
            <v>33.1</v>
          </cell>
          <cell r="N30">
            <v>3</v>
          </cell>
          <cell r="O30" t="str">
            <v>0.45961592475076873</v>
          </cell>
          <cell r="P30" t="str">
            <v>0.45311774019561601</v>
          </cell>
          <cell r="Q30" t="str">
            <v>0.30178920486404121</v>
          </cell>
          <cell r="R30">
            <v>16</v>
          </cell>
        </row>
        <row r="31">
          <cell r="E31" t="str">
            <v>GCA_000011965.2</v>
          </cell>
          <cell r="F31" t="str">
            <v>Bacteria</v>
          </cell>
          <cell r="G31" t="str">
            <v>Proteobacteria (a)</v>
          </cell>
          <cell r="H31" t="str">
            <v>4.59</v>
          </cell>
          <cell r="I31">
            <v>2</v>
          </cell>
          <cell r="J31">
            <v>0</v>
          </cell>
          <cell r="K31" t="str">
            <v>Complete</v>
          </cell>
          <cell r="L31" t="str">
            <v>1 megaplasmid</v>
          </cell>
          <cell r="M31" t="str">
            <v>64.1</v>
          </cell>
          <cell r="N31">
            <v>3</v>
          </cell>
          <cell r="O31" t="str">
            <v>6.6534762286753105E-2</v>
          </cell>
          <cell r="P31" t="str">
            <v>6.559407433102793E-2</v>
          </cell>
          <cell r="Q31" t="str">
            <v>NP</v>
          </cell>
          <cell r="R31">
            <v>78</v>
          </cell>
        </row>
        <row r="32">
          <cell r="E32" t="str">
            <v>GCA_000012825.1</v>
          </cell>
          <cell r="F32" t="str">
            <v>Bacteria</v>
          </cell>
          <cell r="G32" t="str">
            <v>Bacteroidetes</v>
          </cell>
          <cell r="H32" t="str">
            <v>5.16319</v>
          </cell>
          <cell r="I32">
            <v>1</v>
          </cell>
          <cell r="J32">
            <v>0</v>
          </cell>
          <cell r="K32" t="str">
            <v>Complete</v>
          </cell>
          <cell r="L32" t="str">
            <v>NA</v>
          </cell>
          <cell r="M32" t="str">
            <v>42.2</v>
          </cell>
          <cell r="N32">
            <v>7</v>
          </cell>
          <cell r="O32" t="str">
            <v>0.46924417538572621</v>
          </cell>
          <cell r="P32" t="str">
            <v>0.50066002576104029</v>
          </cell>
          <cell r="Q32" t="str">
            <v>1.3865005220193225</v>
          </cell>
          <cell r="R32">
            <v>60</v>
          </cell>
        </row>
        <row r="33">
          <cell r="E33" t="str">
            <v>GCA_000013465.1</v>
          </cell>
          <cell r="F33" t="str">
            <v>Bacteria</v>
          </cell>
          <cell r="G33" t="str">
            <v>Firmicutes</v>
          </cell>
          <cell r="H33" t="str">
            <v>2.9</v>
          </cell>
          <cell r="I33">
            <v>4</v>
          </cell>
          <cell r="J33">
            <v>0</v>
          </cell>
          <cell r="K33" t="str">
            <v>Complete</v>
          </cell>
          <cell r="L33" t="str">
            <v>3 plasmids</v>
          </cell>
          <cell r="M33" t="str">
            <v>32.7</v>
          </cell>
          <cell r="N33">
            <v>5</v>
          </cell>
          <cell r="O33" t="str">
            <v>NP</v>
          </cell>
          <cell r="P33" t="str">
            <v>6.9213057742394987E-2</v>
          </cell>
          <cell r="Q33" t="str">
            <v>NP</v>
          </cell>
          <cell r="R33">
            <v>39</v>
          </cell>
        </row>
        <row r="34">
          <cell r="E34" t="str">
            <v>GCA_000013645.1</v>
          </cell>
          <cell r="F34" t="str">
            <v>Bacteria</v>
          </cell>
          <cell r="G34" t="str">
            <v>Proteobacteria (b)</v>
          </cell>
          <cell r="H34" t="str">
            <v>9.7353</v>
          </cell>
          <cell r="I34">
            <v>3</v>
          </cell>
          <cell r="J34">
            <v>0</v>
          </cell>
          <cell r="K34" t="str">
            <v>Complete</v>
          </cell>
          <cell r="L34" t="str">
            <v>3 chromosomes</v>
          </cell>
          <cell r="M34" t="str">
            <v>62.6</v>
          </cell>
          <cell r="N34">
            <v>6</v>
          </cell>
          <cell r="O34" t="str">
            <v>0.57511327297877535</v>
          </cell>
          <cell r="P34" t="str">
            <v>0.56698215308783495</v>
          </cell>
          <cell r="Q34" t="str">
            <v>0.28321958837664929</v>
          </cell>
          <cell r="R34">
            <v>81</v>
          </cell>
        </row>
        <row r="35">
          <cell r="E35" t="str">
            <v>GCA_000014425.1</v>
          </cell>
          <cell r="F35" t="str">
            <v>Bacteria</v>
          </cell>
          <cell r="G35" t="str">
            <v>Firmicutes</v>
          </cell>
          <cell r="H35" t="str">
            <v>1.89</v>
          </cell>
          <cell r="I35">
            <v>1</v>
          </cell>
          <cell r="J35">
            <v>0</v>
          </cell>
          <cell r="K35" t="str">
            <v>Complete</v>
          </cell>
          <cell r="L35" t="str">
            <v>NA</v>
          </cell>
          <cell r="M35" t="str">
            <v>35.2</v>
          </cell>
          <cell r="N35">
            <v>6</v>
          </cell>
          <cell r="O35" t="str">
            <v>NP</v>
          </cell>
          <cell r="P35" t="str">
            <v>0.10619992986928331</v>
          </cell>
          <cell r="Q35" t="str">
            <v>NP</v>
          </cell>
          <cell r="R35">
            <v>41</v>
          </cell>
        </row>
        <row r="36">
          <cell r="E36" t="str">
            <v>GCA_000015125.1</v>
          </cell>
          <cell r="F36" t="str">
            <v>Bacteria</v>
          </cell>
          <cell r="G36" t="str">
            <v>Chlorobi</v>
          </cell>
          <cell r="H36" t="str">
            <v>3.1339</v>
          </cell>
          <cell r="I36">
            <v>1</v>
          </cell>
          <cell r="J36">
            <v>0</v>
          </cell>
          <cell r="K36" t="str">
            <v>Complete</v>
          </cell>
          <cell r="L36" t="str">
            <v>NA</v>
          </cell>
          <cell r="M36" t="str">
            <v>48.4</v>
          </cell>
          <cell r="N36">
            <v>2</v>
          </cell>
          <cell r="O36" t="str">
            <v>0.69026180122150038</v>
          </cell>
          <cell r="P36" t="str">
            <v>0.6805026777138854</v>
          </cell>
          <cell r="Q36" t="str">
            <v>0.67985098727252846</v>
          </cell>
          <cell r="R36">
            <v>63</v>
          </cell>
        </row>
        <row r="37">
          <cell r="E37" t="str">
            <v>GCA_000015425.1</v>
          </cell>
          <cell r="F37" t="str">
            <v>Bacteria</v>
          </cell>
          <cell r="G37" t="str">
            <v>Proteobacteria (g)</v>
          </cell>
          <cell r="H37" t="str">
            <v>4.34</v>
          </cell>
          <cell r="I37">
            <v>3</v>
          </cell>
          <cell r="J37">
            <v>1</v>
          </cell>
          <cell r="K37" t="str">
            <v>Complete</v>
          </cell>
          <cell r="L37" t="str">
            <v>2 plasmids</v>
          </cell>
          <cell r="M37">
            <v>39</v>
          </cell>
          <cell r="N37">
            <v>6</v>
          </cell>
          <cell r="O37" t="str">
            <v>NP</v>
          </cell>
          <cell r="P37" t="str">
            <v>4.6248356555978219E-2</v>
          </cell>
          <cell r="Q37" t="str">
            <v>NP</v>
          </cell>
          <cell r="R37">
            <v>88</v>
          </cell>
        </row>
        <row r="38">
          <cell r="E38" t="str">
            <v>GCA_000015805.1</v>
          </cell>
          <cell r="F38" t="str">
            <v>Archaea</v>
          </cell>
          <cell r="G38" t="str">
            <v>Crenarchaeota</v>
          </cell>
          <cell r="H38">
            <v>2</v>
          </cell>
          <cell r="I38">
            <v>1</v>
          </cell>
          <cell r="J38">
            <v>0</v>
          </cell>
          <cell r="K38" t="str">
            <v>Complete</v>
          </cell>
          <cell r="L38" t="str">
            <v>NA</v>
          </cell>
          <cell r="M38" t="str">
            <v>57.2</v>
          </cell>
          <cell r="N38">
            <v>1</v>
          </cell>
          <cell r="O38" t="str">
            <v>2.5449546574683057</v>
          </cell>
          <cell r="P38" t="str">
            <v>2.5089733431618182</v>
          </cell>
          <cell r="Q38" t="str">
            <v>0.50131411976785345</v>
          </cell>
          <cell r="R38">
            <v>2</v>
          </cell>
        </row>
        <row r="39">
          <cell r="E39" t="str">
            <v>GCA_000015865.1</v>
          </cell>
          <cell r="F39" t="str">
            <v>Bacteria</v>
          </cell>
          <cell r="G39" t="str">
            <v>Firmicutes</v>
          </cell>
          <cell r="H39" t="str">
            <v>3.8433</v>
          </cell>
          <cell r="I39">
            <v>1</v>
          </cell>
          <cell r="J39">
            <v>0</v>
          </cell>
          <cell r="K39" t="str">
            <v>Complete</v>
          </cell>
          <cell r="L39" t="str">
            <v>NA</v>
          </cell>
          <cell r="M39">
            <v>39</v>
          </cell>
          <cell r="N39">
            <v>4</v>
          </cell>
          <cell r="O39" t="str">
            <v>0.26884489655559862</v>
          </cell>
          <cell r="P39" t="str">
            <v>0.26504388866955436</v>
          </cell>
          <cell r="Q39" t="str">
            <v>0.15913491689870196</v>
          </cell>
          <cell r="R39">
            <v>35</v>
          </cell>
        </row>
        <row r="40">
          <cell r="E40" t="str">
            <v>GCA_000015985.1</v>
          </cell>
          <cell r="F40" t="str">
            <v>Bacteria</v>
          </cell>
          <cell r="G40" t="str">
            <v>Proteobacteria (a)</v>
          </cell>
          <cell r="H40" t="str">
            <v>4.49</v>
          </cell>
          <cell r="I40">
            <v>3</v>
          </cell>
          <cell r="J40">
            <v>0</v>
          </cell>
          <cell r="K40" t="str">
            <v>Complete</v>
          </cell>
          <cell r="L40" t="str">
            <v>2 chromosomes 1 plasmid</v>
          </cell>
          <cell r="M40">
            <v>69</v>
          </cell>
          <cell r="N40">
            <v>4</v>
          </cell>
          <cell r="O40" t="str">
            <v>NP</v>
          </cell>
          <cell r="P40" t="str">
            <v>4.4703311236736182E-2</v>
          </cell>
          <cell r="Q40" t="str">
            <v>NP</v>
          </cell>
          <cell r="R40">
            <v>77</v>
          </cell>
        </row>
        <row r="41">
          <cell r="E41" t="str">
            <v>GCA_000016065.1</v>
          </cell>
          <cell r="F41" t="str">
            <v>Bacteria</v>
          </cell>
          <cell r="G41" t="str">
            <v>Proteobacteria (g)</v>
          </cell>
          <cell r="H41" t="str">
            <v>4.6</v>
          </cell>
          <cell r="I41">
            <v>1</v>
          </cell>
          <cell r="J41">
            <v>0</v>
          </cell>
          <cell r="K41" t="str">
            <v>Complete</v>
          </cell>
          <cell r="L41" t="str">
            <v>NA</v>
          </cell>
          <cell r="M41" t="str">
            <v>53.7</v>
          </cell>
          <cell r="N41">
            <v>8</v>
          </cell>
          <cell r="O41" t="str">
            <v>0.55325101249311004</v>
          </cell>
          <cell r="P41" t="str">
            <v>0.5454289876438736</v>
          </cell>
          <cell r="Q41" t="str">
            <v>0.76286931269021185</v>
          </cell>
          <cell r="R41">
            <v>85</v>
          </cell>
        </row>
        <row r="42">
          <cell r="E42" t="str">
            <v>GCA_000016085.1</v>
          </cell>
          <cell r="F42" t="str">
            <v>Bacteria</v>
          </cell>
          <cell r="G42" t="str">
            <v>Chlorobi</v>
          </cell>
          <cell r="H42" t="str">
            <v>1.96686</v>
          </cell>
          <cell r="I42">
            <v>1</v>
          </cell>
          <cell r="J42">
            <v>0</v>
          </cell>
          <cell r="K42" t="str">
            <v>Complete</v>
          </cell>
          <cell r="L42" t="str">
            <v>NA</v>
          </cell>
          <cell r="M42">
            <v>53</v>
          </cell>
          <cell r="N42">
            <v>1</v>
          </cell>
          <cell r="O42" t="str">
            <v>1.2939175424119185</v>
          </cell>
          <cell r="P42" t="str">
            <v>1.2756237572383484</v>
          </cell>
          <cell r="Q42" t="str">
            <v>1.9116032143919244</v>
          </cell>
          <cell r="R42">
            <v>65</v>
          </cell>
        </row>
        <row r="43">
          <cell r="E43" t="str">
            <v>GCA_000016125.1</v>
          </cell>
          <cell r="F43" t="str">
            <v>Archaea</v>
          </cell>
          <cell r="G43" t="str">
            <v>Euryarchaeota</v>
          </cell>
          <cell r="H43" t="str">
            <v>1.8083</v>
          </cell>
          <cell r="I43">
            <v>2</v>
          </cell>
          <cell r="J43">
            <v>0</v>
          </cell>
          <cell r="K43" t="str">
            <v>Complete</v>
          </cell>
          <cell r="L43" t="str">
            <v>1 plasmid</v>
          </cell>
          <cell r="M43">
            <v>33</v>
          </cell>
          <cell r="N43">
            <v>3</v>
          </cell>
          <cell r="O43" t="str">
            <v>1.1540467948482063</v>
          </cell>
          <cell r="P43" t="str">
            <v>1.1377305432686453</v>
          </cell>
          <cell r="Q43" t="str">
            <v>1.1366409838235907</v>
          </cell>
          <cell r="R43">
            <v>15</v>
          </cell>
        </row>
        <row r="44">
          <cell r="E44" t="str">
            <v>GCA_000016385.1</v>
          </cell>
          <cell r="F44" t="str">
            <v>Archaea</v>
          </cell>
          <cell r="G44" t="str">
            <v>Crenarchaeota</v>
          </cell>
          <cell r="H44" t="str">
            <v>2.12108</v>
          </cell>
          <cell r="I44">
            <v>1</v>
          </cell>
          <cell r="J44">
            <v>0</v>
          </cell>
          <cell r="K44" t="str">
            <v>Complete</v>
          </cell>
          <cell r="L44" t="str">
            <v>NA</v>
          </cell>
          <cell r="M44" t="str">
            <v>55.1</v>
          </cell>
          <cell r="N44">
            <v>1</v>
          </cell>
          <cell r="O44" t="str">
            <v>4.7993562854174394E-2</v>
          </cell>
          <cell r="P44" t="str">
            <v>4.7315015806321643E-2</v>
          </cell>
          <cell r="Q44" t="str">
            <v>NP</v>
          </cell>
          <cell r="R44">
            <v>4</v>
          </cell>
        </row>
        <row r="45">
          <cell r="E45" t="str">
            <v>GCA_000016425.1</v>
          </cell>
          <cell r="F45" t="str">
            <v>Bacteria</v>
          </cell>
          <cell r="G45" t="str">
            <v>Actinobacteria</v>
          </cell>
          <cell r="H45" t="str">
            <v>5.1833</v>
          </cell>
          <cell r="I45">
            <v>1</v>
          </cell>
          <cell r="J45">
            <v>0</v>
          </cell>
          <cell r="K45" t="str">
            <v>Complete</v>
          </cell>
          <cell r="L45" t="str">
            <v>NA</v>
          </cell>
          <cell r="M45" t="str">
            <v>69.5</v>
          </cell>
          <cell r="N45">
            <v>3</v>
          </cell>
          <cell r="O45" t="str">
            <v>0.49099119431024757</v>
          </cell>
          <cell r="P45" t="str">
            <v>0.48404941700496168</v>
          </cell>
          <cell r="Q45" t="str">
            <v>0.38686868965165316</v>
          </cell>
          <cell r="R45">
            <v>52</v>
          </cell>
        </row>
        <row r="46">
          <cell r="E46" t="str">
            <v>GCA_000016545.1</v>
          </cell>
          <cell r="F46" t="str">
            <v>Bacteria</v>
          </cell>
          <cell r="G46" t="str">
            <v>Firmicutes</v>
          </cell>
          <cell r="H46" t="str">
            <v>2.97027</v>
          </cell>
          <cell r="I46">
            <v>1</v>
          </cell>
          <cell r="J46">
            <v>0</v>
          </cell>
          <cell r="K46" t="str">
            <v>Complete</v>
          </cell>
          <cell r="L46" t="str">
            <v>NA</v>
          </cell>
          <cell r="M46" t="str">
            <v>35.3</v>
          </cell>
          <cell r="N46">
            <v>3</v>
          </cell>
          <cell r="O46" t="str">
            <v>0.8910815662438224</v>
          </cell>
          <cell r="P46" t="str">
            <v>0.87848319408279074</v>
          </cell>
          <cell r="Q46" t="str">
            <v>1.3164628583223938</v>
          </cell>
          <cell r="R46">
            <v>37</v>
          </cell>
        </row>
        <row r="47">
          <cell r="E47" t="str">
            <v>GCA_000016785.1</v>
          </cell>
          <cell r="F47" t="str">
            <v>Bacteria</v>
          </cell>
          <cell r="G47" t="str">
            <v>Thermotogae</v>
          </cell>
          <cell r="H47" t="str">
            <v>1.82351</v>
          </cell>
          <cell r="I47">
            <v>1</v>
          </cell>
          <cell r="J47">
            <v>0</v>
          </cell>
          <cell r="K47" t="str">
            <v>Complete</v>
          </cell>
          <cell r="L47" t="str">
            <v>NA</v>
          </cell>
          <cell r="M47" t="str">
            <v>46.1</v>
          </cell>
          <cell r="N47">
            <v>1</v>
          </cell>
          <cell r="O47" t="str">
            <v>6.9502630609057059</v>
          </cell>
          <cell r="P47" t="str">
            <v>6.8519982061770195</v>
          </cell>
          <cell r="Q47" t="str">
            <v>NP</v>
          </cell>
          <cell r="R47">
            <v>30</v>
          </cell>
        </row>
        <row r="48">
          <cell r="E48" t="str">
            <v>GCA_000017325.1</v>
          </cell>
          <cell r="F48" t="str">
            <v>Bacteria</v>
          </cell>
          <cell r="G48" t="str">
            <v>Proteobacteria (g)</v>
          </cell>
          <cell r="H48" t="str">
            <v>5.31269</v>
          </cell>
          <cell r="I48">
            <v>2</v>
          </cell>
          <cell r="J48">
            <v>0</v>
          </cell>
          <cell r="K48" t="str">
            <v>Complete</v>
          </cell>
          <cell r="L48" t="str">
            <v>1 plasmid</v>
          </cell>
          <cell r="M48" t="str">
            <v>46.3</v>
          </cell>
          <cell r="N48">
            <v>10</v>
          </cell>
          <cell r="O48" t="str">
            <v>1.3566218977486437</v>
          </cell>
          <cell r="P48" t="str">
            <v>1.3374415800346471</v>
          </cell>
          <cell r="Q48" t="str">
            <v>1.7815476869941731</v>
          </cell>
          <cell r="R48">
            <v>86</v>
          </cell>
        </row>
        <row r="49">
          <cell r="E49" t="str">
            <v>GCA_000017945.1</v>
          </cell>
          <cell r="F49" t="str">
            <v>Archaea</v>
          </cell>
          <cell r="G49" t="str">
            <v>Crenarchaeota</v>
          </cell>
          <cell r="H49" t="str">
            <v>1.3</v>
          </cell>
          <cell r="I49">
            <v>1</v>
          </cell>
          <cell r="J49">
            <v>0</v>
          </cell>
          <cell r="K49" t="str">
            <v>Complete</v>
          </cell>
          <cell r="L49" t="str">
            <v>NA</v>
          </cell>
          <cell r="M49" t="str">
            <v>56.5</v>
          </cell>
          <cell r="N49">
            <v>1</v>
          </cell>
          <cell r="O49" t="str">
            <v>2.8386032717915723</v>
          </cell>
          <cell r="P49" t="str">
            <v>2.7984702673727972</v>
          </cell>
          <cell r="Q49" t="str">
            <v>4.1917572937512055</v>
          </cell>
          <cell r="R49">
            <v>8</v>
          </cell>
        </row>
        <row r="50">
          <cell r="E50" t="str">
            <v>GCA_000018265.1</v>
          </cell>
          <cell r="F50" t="str">
            <v>Bacteria</v>
          </cell>
          <cell r="G50" t="str">
            <v>Actinobacteria</v>
          </cell>
          <cell r="H50" t="str">
            <v>5.7863</v>
          </cell>
          <cell r="I50">
            <v>1</v>
          </cell>
          <cell r="J50">
            <v>0</v>
          </cell>
          <cell r="K50" t="str">
            <v>Complete</v>
          </cell>
          <cell r="L50" t="str">
            <v>NA</v>
          </cell>
          <cell r="M50" t="str">
            <v>69.5</v>
          </cell>
          <cell r="N50">
            <v>3</v>
          </cell>
          <cell r="O50" t="str">
            <v>0.39056387256655478</v>
          </cell>
          <cell r="P50" t="str">
            <v>0.38504196614895447</v>
          </cell>
          <cell r="Q50" t="str">
            <v>0.3118972108539606</v>
          </cell>
          <cell r="R50">
            <v>51</v>
          </cell>
        </row>
        <row r="51">
          <cell r="E51" t="str">
            <v>GCA_000018565.1</v>
          </cell>
          <cell r="F51" t="str">
            <v>Bacteria</v>
          </cell>
          <cell r="G51" t="str">
            <v>Chloroflexi</v>
          </cell>
          <cell r="H51" t="str">
            <v>6.78559</v>
          </cell>
          <cell r="I51">
            <v>3</v>
          </cell>
          <cell r="J51">
            <v>0</v>
          </cell>
          <cell r="K51" t="str">
            <v>Complete</v>
          </cell>
          <cell r="L51" t="str">
            <v>2 plasmids</v>
          </cell>
          <cell r="M51" t="str">
            <v>50.9</v>
          </cell>
          <cell r="N51">
            <v>5</v>
          </cell>
          <cell r="O51" t="str">
            <v>1.6502324032045181</v>
          </cell>
          <cell r="P51" t="str">
            <v>1.6269009341725629</v>
          </cell>
          <cell r="Q51" t="str">
            <v>2.6005486650134242</v>
          </cell>
          <cell r="R51">
            <v>48</v>
          </cell>
        </row>
        <row r="52">
          <cell r="E52" t="str">
            <v>GCA_000018865.1</v>
          </cell>
          <cell r="F52" t="str">
            <v>Bacteria</v>
          </cell>
          <cell r="G52" t="str">
            <v>Chloroflexi</v>
          </cell>
          <cell r="H52" t="str">
            <v>5.25854</v>
          </cell>
          <cell r="I52">
            <v>1</v>
          </cell>
          <cell r="J52">
            <v>0</v>
          </cell>
          <cell r="K52" t="str">
            <v>Complete</v>
          </cell>
          <cell r="L52" t="str">
            <v>NA</v>
          </cell>
          <cell r="M52" t="str">
            <v>56.7</v>
          </cell>
          <cell r="N52">
            <v>3</v>
          </cell>
          <cell r="O52" t="str">
            <v>0.20326572701485365</v>
          </cell>
          <cell r="P52" t="str">
            <v>0.20039189663442014</v>
          </cell>
          <cell r="Q52" t="str">
            <v>0.10009999462897422</v>
          </cell>
          <cell r="R52">
            <v>47</v>
          </cell>
        </row>
        <row r="53">
          <cell r="E53" t="str">
            <v>GCA_000018945.1</v>
          </cell>
          <cell r="F53" t="str">
            <v>Bacteria</v>
          </cell>
          <cell r="G53" t="str">
            <v>Thermotogae</v>
          </cell>
          <cell r="H53" t="str">
            <v>1.884</v>
          </cell>
          <cell r="I53">
            <v>1</v>
          </cell>
          <cell r="J53">
            <v>0</v>
          </cell>
          <cell r="K53" t="str">
            <v>Complete</v>
          </cell>
          <cell r="L53" t="str">
            <v>NA</v>
          </cell>
          <cell r="M53" t="str">
            <v>46.9</v>
          </cell>
          <cell r="N53">
            <v>1</v>
          </cell>
          <cell r="O53" t="str">
            <v>1.6074819757894294</v>
          </cell>
          <cell r="P53" t="str">
            <v>1.5847549248208943</v>
          </cell>
          <cell r="Q53" t="str">
            <v>3.1664745356886717</v>
          </cell>
          <cell r="R53">
            <v>29</v>
          </cell>
        </row>
        <row r="54">
          <cell r="E54" t="str">
            <v>GCA_000019085.1</v>
          </cell>
          <cell r="F54" t="str">
            <v>Bacteria</v>
          </cell>
          <cell r="G54" t="str">
            <v>Firmicutes</v>
          </cell>
          <cell r="H54" t="str">
            <v>2.36282</v>
          </cell>
          <cell r="I54">
            <v>1</v>
          </cell>
          <cell r="J54">
            <v>0</v>
          </cell>
          <cell r="K54" t="str">
            <v>Complete</v>
          </cell>
          <cell r="L54" t="str">
            <v>NA</v>
          </cell>
          <cell r="M54" t="str">
            <v>34.5</v>
          </cell>
          <cell r="N54">
            <v>4</v>
          </cell>
          <cell r="O54" t="str">
            <v>2.4816006004718845</v>
          </cell>
          <cell r="P54" t="str">
            <v>2.4465150043781709</v>
          </cell>
          <cell r="Q54" t="str">
            <v>1.8331290554482584</v>
          </cell>
          <cell r="R54">
            <v>33</v>
          </cell>
        </row>
        <row r="55">
          <cell r="E55" t="str">
            <v>GCA_000019625.1</v>
          </cell>
          <cell r="F55" t="str">
            <v>Bacteria</v>
          </cell>
          <cell r="G55" t="str">
            <v>Thermotogae</v>
          </cell>
          <cell r="H55" t="str">
            <v>1.87769</v>
          </cell>
          <cell r="I55">
            <v>1</v>
          </cell>
          <cell r="J55">
            <v>0</v>
          </cell>
          <cell r="K55" t="str">
            <v>Complete</v>
          </cell>
          <cell r="L55" t="str">
            <v>NA</v>
          </cell>
          <cell r="M55" t="str">
            <v>46.2</v>
          </cell>
          <cell r="N55">
            <v>1</v>
          </cell>
          <cell r="O55" t="str">
            <v>NP</v>
          </cell>
          <cell r="P55" t="str">
            <v>NP</v>
          </cell>
          <cell r="Q55" t="str">
            <v>6.1406434260504295</v>
          </cell>
          <cell r="R55">
            <v>31</v>
          </cell>
        </row>
        <row r="56">
          <cell r="E56" t="str">
            <v>GCA_000019785.1</v>
          </cell>
          <cell r="F56" t="str">
            <v>Bacteria</v>
          </cell>
          <cell r="G56" t="str">
            <v>Proteobacteria (b)</v>
          </cell>
          <cell r="H56" t="str">
            <v>4.909403</v>
          </cell>
          <cell r="I56">
            <v>1</v>
          </cell>
          <cell r="J56">
            <v>0</v>
          </cell>
          <cell r="K56" t="str">
            <v>Complete</v>
          </cell>
          <cell r="L56" t="str">
            <v>NA</v>
          </cell>
          <cell r="M56" t="str">
            <v>68.9</v>
          </cell>
          <cell r="N56">
            <v>2</v>
          </cell>
          <cell r="O56" t="str">
            <v>4.9764838436966247E-2</v>
          </cell>
          <cell r="P56" t="str">
            <v>4.9061248576157741E-2</v>
          </cell>
          <cell r="Q56" t="str">
            <v>NP</v>
          </cell>
          <cell r="R56">
            <v>82</v>
          </cell>
        </row>
        <row r="57">
          <cell r="E57" t="str">
            <v>GCA_000020225.1</v>
          </cell>
          <cell r="F57" t="str">
            <v>Bacteria</v>
          </cell>
          <cell r="G57" t="str">
            <v>Verrucomicrobia</v>
          </cell>
          <cell r="H57" t="str">
            <v>2.6641</v>
          </cell>
          <cell r="I57">
            <v>1</v>
          </cell>
          <cell r="J57">
            <v>0</v>
          </cell>
          <cell r="K57" t="str">
            <v>Complete</v>
          </cell>
          <cell r="L57" t="str">
            <v>NA</v>
          </cell>
          <cell r="M57" t="str">
            <v>55.8</v>
          </cell>
          <cell r="N57">
            <v>3</v>
          </cell>
          <cell r="O57" t="str">
            <v>0.90751357854243131</v>
          </cell>
          <cell r="P57" t="str">
            <v>0.89468288577896005</v>
          </cell>
          <cell r="Q57" t="str">
            <v>1.2513565168185226</v>
          </cell>
          <cell r="R57">
            <v>57</v>
          </cell>
        </row>
        <row r="58">
          <cell r="E58" t="str">
            <v>GCA_000020325.1</v>
          </cell>
          <cell r="F58" t="str">
            <v>Bacteria</v>
          </cell>
          <cell r="G58" t="str">
            <v>Aquificae</v>
          </cell>
          <cell r="H58" t="str">
            <v>1.83844</v>
          </cell>
          <cell r="I58">
            <v>1</v>
          </cell>
          <cell r="J58">
            <v>0</v>
          </cell>
          <cell r="K58" t="str">
            <v>Complete</v>
          </cell>
          <cell r="L58" t="str">
            <v>NA</v>
          </cell>
          <cell r="M58">
            <v>32</v>
          </cell>
          <cell r="N58">
            <v>3</v>
          </cell>
          <cell r="O58" t="str">
            <v>0.69215058894179471</v>
          </cell>
          <cell r="P58" t="str">
            <v>0.68236476120020728</v>
          </cell>
          <cell r="Q58" t="str">
            <v>0.54536903001224235</v>
          </cell>
          <cell r="R58">
            <v>27</v>
          </cell>
        </row>
        <row r="59">
          <cell r="E59" t="str">
            <v>GCA_000020465.1</v>
          </cell>
          <cell r="F59" t="str">
            <v>Bacteria</v>
          </cell>
          <cell r="G59" t="str">
            <v>Chlorobi</v>
          </cell>
          <cell r="H59" t="str">
            <v>2.76318</v>
          </cell>
          <cell r="I59">
            <v>1</v>
          </cell>
          <cell r="J59">
            <v>0</v>
          </cell>
          <cell r="K59" t="str">
            <v>Complete</v>
          </cell>
          <cell r="L59" t="str">
            <v>NA</v>
          </cell>
          <cell r="M59" t="str">
            <v>51.3</v>
          </cell>
          <cell r="N59">
            <v>2</v>
          </cell>
          <cell r="O59" t="str">
            <v>2.3209800797704569</v>
          </cell>
          <cell r="P59" t="str">
            <v>2.2881653836405094</v>
          </cell>
          <cell r="Q59" t="str">
            <v>1.3715844590091748</v>
          </cell>
          <cell r="R59">
            <v>62</v>
          </cell>
        </row>
        <row r="60">
          <cell r="E60" t="str">
            <v>GCA_000020645.1</v>
          </cell>
          <cell r="F60" t="str">
            <v>Bacteria</v>
          </cell>
          <cell r="G60" t="str">
            <v>Chlorobi</v>
          </cell>
          <cell r="H60" t="str">
            <v>3.018238</v>
          </cell>
          <cell r="I60">
            <v>1</v>
          </cell>
          <cell r="J60">
            <v>0</v>
          </cell>
          <cell r="K60" t="str">
            <v>Complete</v>
          </cell>
          <cell r="L60" t="str">
            <v>NA</v>
          </cell>
          <cell r="M60" t="str">
            <v>48.1</v>
          </cell>
          <cell r="N60">
            <v>3</v>
          </cell>
          <cell r="O60" t="str">
            <v>NP</v>
          </cell>
          <cell r="P60" t="str">
            <v>NP</v>
          </cell>
          <cell r="Q60" t="str">
            <v>0.10297887517686449</v>
          </cell>
          <cell r="R60">
            <v>64</v>
          </cell>
        </row>
        <row r="61">
          <cell r="E61" t="str">
            <v>GCA_000020725.1</v>
          </cell>
          <cell r="F61" t="str">
            <v>Bacteria</v>
          </cell>
          <cell r="G61" t="str">
            <v>Proteobacteria (d)</v>
          </cell>
          <cell r="H61" t="str">
            <v>4.61</v>
          </cell>
          <cell r="I61">
            <v>1</v>
          </cell>
          <cell r="J61">
            <v>0</v>
          </cell>
          <cell r="K61" t="str">
            <v>Complete</v>
          </cell>
          <cell r="L61" t="str">
            <v>NA</v>
          </cell>
          <cell r="M61" t="str">
            <v>60.3</v>
          </cell>
          <cell r="N61">
            <v>4</v>
          </cell>
          <cell r="O61" t="str">
            <v>3.3123054110216566E-3</v>
          </cell>
          <cell r="P61" t="str">
            <v>3.2654750670218888E-3</v>
          </cell>
          <cell r="Q61" t="str">
            <v>NP</v>
          </cell>
          <cell r="R61">
            <v>67</v>
          </cell>
        </row>
        <row r="62">
          <cell r="E62" t="str">
            <v>GCA_000020785.1</v>
          </cell>
          <cell r="F62" t="str">
            <v>Bacteria</v>
          </cell>
          <cell r="G62" t="str">
            <v>Aquificae</v>
          </cell>
          <cell r="H62" t="str">
            <v>1.55951</v>
          </cell>
          <cell r="I62">
            <v>1</v>
          </cell>
          <cell r="J62">
            <v>0</v>
          </cell>
          <cell r="K62" t="str">
            <v>Complete</v>
          </cell>
          <cell r="L62" t="str">
            <v>NA</v>
          </cell>
          <cell r="M62" t="str">
            <v>34.8</v>
          </cell>
          <cell r="N62">
            <v>2</v>
          </cell>
          <cell r="O62" t="str">
            <v>1.6318937727031608</v>
          </cell>
          <cell r="P62" t="str">
            <v>1.6088215806002002</v>
          </cell>
          <cell r="Q62" t="str">
            <v>1.2858247007530661</v>
          </cell>
          <cell r="R62">
            <v>25</v>
          </cell>
        </row>
        <row r="63">
          <cell r="E63" t="str">
            <v>GCA_000021565.1</v>
          </cell>
          <cell r="F63" t="str">
            <v>Bacteria</v>
          </cell>
          <cell r="G63" t="str">
            <v>Aquificae</v>
          </cell>
          <cell r="H63" t="str">
            <v>1.98428</v>
          </cell>
          <cell r="I63">
            <v>2</v>
          </cell>
          <cell r="J63">
            <v>0</v>
          </cell>
          <cell r="K63" t="str">
            <v>Complete</v>
          </cell>
          <cell r="L63" t="str">
            <v>1 plasmid</v>
          </cell>
          <cell r="M63" t="str">
            <v>37.1</v>
          </cell>
          <cell r="N63">
            <v>2</v>
          </cell>
          <cell r="O63" t="str">
            <v>2.8062374214025518</v>
          </cell>
          <cell r="P63" t="str">
            <v>2.7665620148557966</v>
          </cell>
          <cell r="Q63" t="str">
            <v>1.5158569952865126</v>
          </cell>
          <cell r="R63">
            <v>26</v>
          </cell>
        </row>
        <row r="64">
          <cell r="E64" t="str">
            <v>GCA_000021645.1</v>
          </cell>
          <cell r="F64" t="str">
            <v>Bacteria</v>
          </cell>
          <cell r="G64" t="str">
            <v>Dictyoglomi</v>
          </cell>
          <cell r="H64" t="str">
            <v>1.85556</v>
          </cell>
          <cell r="I64">
            <v>1</v>
          </cell>
          <cell r="J64">
            <v>0</v>
          </cell>
          <cell r="K64" t="str">
            <v>Complete</v>
          </cell>
          <cell r="L64" t="str">
            <v>NA</v>
          </cell>
          <cell r="M64">
            <v>34</v>
          </cell>
          <cell r="N64">
            <v>2</v>
          </cell>
          <cell r="O64" t="str">
            <v>0.68576458251641181</v>
          </cell>
          <cell r="P64" t="str">
            <v>0.6760690420039821</v>
          </cell>
          <cell r="Q64" t="str">
            <v>0.54033727798384679</v>
          </cell>
          <cell r="R64">
            <v>28</v>
          </cell>
        </row>
        <row r="65">
          <cell r="E65" t="str">
            <v>GCA_000021665.1</v>
          </cell>
          <cell r="F65" t="str">
            <v>Bacteria</v>
          </cell>
          <cell r="G65" t="str">
            <v>Proteobacteria (g)</v>
          </cell>
          <cell r="H65" t="str">
            <v>5.3579</v>
          </cell>
          <cell r="I65">
            <v>4</v>
          </cell>
          <cell r="J65">
            <v>0</v>
          </cell>
          <cell r="K65" t="str">
            <v>Complete</v>
          </cell>
          <cell r="L65" t="str">
            <v>3 plasmids</v>
          </cell>
          <cell r="M65" t="str">
            <v>46.3</v>
          </cell>
          <cell r="N65">
            <v>10</v>
          </cell>
          <cell r="O65" t="str">
            <v>2.5364523173035618</v>
          </cell>
          <cell r="P65" t="str">
            <v>2.5005912115724644</v>
          </cell>
          <cell r="Q65" t="str">
            <v>2.9978357933821127</v>
          </cell>
          <cell r="R65">
            <v>87</v>
          </cell>
        </row>
        <row r="66">
          <cell r="E66" t="str">
            <v>GCA_000022325.1</v>
          </cell>
          <cell r="F66" t="str">
            <v>Bacteria</v>
          </cell>
          <cell r="G66" t="str">
            <v>Firmicutes</v>
          </cell>
          <cell r="H66" t="str">
            <v>2.912</v>
          </cell>
          <cell r="I66">
            <v>3</v>
          </cell>
          <cell r="J66">
            <v>0</v>
          </cell>
          <cell r="K66" t="str">
            <v>Complete</v>
          </cell>
          <cell r="L66" t="str">
            <v>2 plasmids</v>
          </cell>
          <cell r="M66" t="str">
            <v>35.2</v>
          </cell>
          <cell r="N66">
            <v>3</v>
          </cell>
          <cell r="O66" t="str">
            <v>0.21499273548667699</v>
          </cell>
          <cell r="P66" t="str">
            <v>0.21195310522589542</v>
          </cell>
          <cell r="Q66" t="str">
            <v>0.21175012613820735</v>
          </cell>
          <cell r="R66">
            <v>36</v>
          </cell>
        </row>
        <row r="67">
          <cell r="E67" t="str">
            <v>GCA_000022565.1</v>
          </cell>
          <cell r="F67" t="str">
            <v>Bacteria</v>
          </cell>
          <cell r="G67" t="str">
            <v>Acidobacteria</v>
          </cell>
          <cell r="H67" t="str">
            <v>4.12736</v>
          </cell>
          <cell r="I67">
            <v>1</v>
          </cell>
          <cell r="J67">
            <v>0</v>
          </cell>
          <cell r="K67" t="str">
            <v>Complete</v>
          </cell>
          <cell r="L67" t="str">
            <v>NA</v>
          </cell>
          <cell r="M67" t="str">
            <v>60.5</v>
          </cell>
          <cell r="N67">
            <v>1</v>
          </cell>
          <cell r="O67" t="str">
            <v>0.19978032180854857</v>
          </cell>
          <cell r="P67" t="str">
            <v>0.19695576910771756</v>
          </cell>
          <cell r="Q67" t="str">
            <v>0.12146120516937059</v>
          </cell>
          <cell r="R67">
            <v>66</v>
          </cell>
        </row>
        <row r="68">
          <cell r="E68" t="str">
            <v>GCA_000023225.1</v>
          </cell>
          <cell r="F68" t="str">
            <v>Bacteria</v>
          </cell>
          <cell r="G68" t="str">
            <v>Proteobacteria (d)</v>
          </cell>
          <cell r="H68" t="str">
            <v>3.94</v>
          </cell>
          <cell r="I68">
            <v>1</v>
          </cell>
          <cell r="J68">
            <v>0</v>
          </cell>
          <cell r="K68" t="str">
            <v>Complete</v>
          </cell>
          <cell r="L68" t="str">
            <v>NA</v>
          </cell>
          <cell r="M68" t="str">
            <v>58.6</v>
          </cell>
          <cell r="N68">
            <v>2</v>
          </cell>
          <cell r="O68" t="str">
            <v>NP</v>
          </cell>
          <cell r="P68" t="str">
            <v>NP</v>
          </cell>
          <cell r="Q68" t="str">
            <v>3.8171125870648741E-2</v>
          </cell>
          <cell r="R68">
            <v>70</v>
          </cell>
        </row>
        <row r="69">
          <cell r="E69" t="str">
            <v>GCA_000025665.1</v>
          </cell>
          <cell r="F69" t="str">
            <v>Archaea</v>
          </cell>
          <cell r="G69" t="str">
            <v>Euryarchaeota</v>
          </cell>
          <cell r="H69" t="str">
            <v>1.486</v>
          </cell>
          <cell r="I69">
            <v>1</v>
          </cell>
          <cell r="J69">
            <v>0</v>
          </cell>
          <cell r="K69" t="str">
            <v>Complete</v>
          </cell>
          <cell r="L69" t="str">
            <v>NA</v>
          </cell>
          <cell r="M69" t="str">
            <v>39.2</v>
          </cell>
          <cell r="N69">
            <v>1</v>
          </cell>
          <cell r="O69" t="str">
            <v>3.4252418000919327E-2</v>
          </cell>
          <cell r="P69" t="str">
            <v>3.3768147283469968E-2</v>
          </cell>
          <cell r="Q69" t="str">
            <v>NP</v>
          </cell>
          <cell r="R69">
            <v>17</v>
          </cell>
        </row>
        <row r="70">
          <cell r="E70" t="str">
            <v>GCA_000025685.1</v>
          </cell>
          <cell r="F70" t="str">
            <v>Archaea</v>
          </cell>
          <cell r="G70" t="str">
            <v>Euryarchaeota</v>
          </cell>
          <cell r="H70" t="str">
            <v>2.847</v>
          </cell>
          <cell r="I70">
            <v>5</v>
          </cell>
          <cell r="J70">
            <v>0</v>
          </cell>
          <cell r="K70" t="str">
            <v>Complete</v>
          </cell>
          <cell r="L70" t="str">
            <v>4 plasmids</v>
          </cell>
          <cell r="M70" t="str">
            <v>65.5</v>
          </cell>
          <cell r="N70">
            <v>2</v>
          </cell>
          <cell r="O70" t="str">
            <v>4.8271005094235528E-2</v>
          </cell>
          <cell r="P70" t="str">
            <v>4.7588535486736284E-2</v>
          </cell>
          <cell r="Q70" t="str">
            <v>4.7542961832567773E-2</v>
          </cell>
          <cell r="R70">
            <v>23</v>
          </cell>
        </row>
        <row r="71">
          <cell r="E71" t="str">
            <v>GCA_000091665.1</v>
          </cell>
          <cell r="F71" t="str">
            <v>Archaea</v>
          </cell>
          <cell r="G71" t="str">
            <v>Euryarchaeota</v>
          </cell>
          <cell r="H71" t="str">
            <v>1.73997</v>
          </cell>
          <cell r="I71">
            <v>3</v>
          </cell>
          <cell r="J71">
            <v>4</v>
          </cell>
          <cell r="K71" t="str">
            <v>Complete</v>
          </cell>
          <cell r="L71" t="str">
            <v>2 plasmids</v>
          </cell>
          <cell r="M71" t="str">
            <v>31.3</v>
          </cell>
          <cell r="N71">
            <v>2</v>
          </cell>
          <cell r="O71" t="str">
            <v>5.6458013516483971</v>
          </cell>
          <cell r="P71" t="str">
            <v>5.565979358612287</v>
          </cell>
          <cell r="Q71" t="str">
            <v>11.121298081598615</v>
          </cell>
          <cell r="R71">
            <v>14</v>
          </cell>
        </row>
        <row r="72">
          <cell r="E72" t="str">
            <v>GCA_000144915.1</v>
          </cell>
          <cell r="F72" t="str">
            <v>Archaea</v>
          </cell>
          <cell r="G72" t="str">
            <v>Crenarchaeota</v>
          </cell>
          <cell r="H72" t="str">
            <v>1.49</v>
          </cell>
          <cell r="I72">
            <v>1</v>
          </cell>
          <cell r="J72">
            <v>0</v>
          </cell>
          <cell r="K72" t="str">
            <v>Complete</v>
          </cell>
          <cell r="L72" t="str">
            <v>NA</v>
          </cell>
          <cell r="M72" t="str">
            <v>57.2</v>
          </cell>
          <cell r="N72">
            <v>1</v>
          </cell>
          <cell r="O72" t="str">
            <v>3.4160465200916861E-2</v>
          </cell>
          <cell r="P72" t="str">
            <v>3.3677494539084814E-2</v>
          </cell>
          <cell r="Q72" t="str">
            <v>3.3645242937439826E-2</v>
          </cell>
          <cell r="R72">
            <v>6</v>
          </cell>
        </row>
        <row r="73">
          <cell r="E73" t="str">
            <v>GCA_000154225.1</v>
          </cell>
          <cell r="F73" t="str">
            <v>Bacteria</v>
          </cell>
          <cell r="G73" t="str">
            <v>Actinobacteria</v>
          </cell>
          <cell r="H73" t="str">
            <v>2.39</v>
          </cell>
          <cell r="I73">
            <v>2</v>
          </cell>
          <cell r="J73">
            <v>200</v>
          </cell>
          <cell r="K73" t="str">
            <v>Draft</v>
          </cell>
          <cell r="L73" t="str">
            <v>NA</v>
          </cell>
          <cell r="M73" t="str">
            <v>65.5</v>
          </cell>
          <cell r="N73">
            <v>2</v>
          </cell>
          <cell r="O73" t="str">
            <v>NP</v>
          </cell>
          <cell r="P73" t="str">
            <v>8.3982371319224036E-2</v>
          </cell>
          <cell r="Q73" t="str">
            <v>NP</v>
          </cell>
          <cell r="R73">
            <v>54</v>
          </cell>
        </row>
        <row r="74">
          <cell r="E74" t="str">
            <v>GCA_000156375.1</v>
          </cell>
          <cell r="F74" t="str">
            <v>Bacteria</v>
          </cell>
          <cell r="G74" t="str">
            <v>Proteobacteria (d)</v>
          </cell>
          <cell r="H74" t="str">
            <v>2.9</v>
          </cell>
          <cell r="I74">
            <v>47</v>
          </cell>
          <cell r="J74">
            <v>40978</v>
          </cell>
          <cell r="K74" t="str">
            <v>Draft</v>
          </cell>
          <cell r="L74" t="str">
            <v>NA</v>
          </cell>
          <cell r="M74">
            <v>63</v>
          </cell>
          <cell r="N74">
            <v>2</v>
          </cell>
          <cell r="O74" t="str">
            <v>4.3878528577039759</v>
          </cell>
          <cell r="P74" t="str">
            <v>4.3258161088996872</v>
          </cell>
          <cell r="Q74" t="str">
            <v>6.4825101694118983</v>
          </cell>
          <cell r="R74">
            <v>72</v>
          </cell>
        </row>
        <row r="75">
          <cell r="E75" t="str">
            <v>GCA_000166095.1</v>
          </cell>
          <cell r="F75" t="str">
            <v>Archaea</v>
          </cell>
          <cell r="G75" t="str">
            <v>Euryarchaeota</v>
          </cell>
          <cell r="H75" t="str">
            <v>1.24</v>
          </cell>
          <cell r="I75">
            <v>1</v>
          </cell>
          <cell r="J75">
            <v>0</v>
          </cell>
          <cell r="K75" t="str">
            <v>Complete</v>
          </cell>
          <cell r="L75" t="str">
            <v>NA</v>
          </cell>
          <cell r="M75" t="str">
            <v>31.6</v>
          </cell>
          <cell r="N75">
            <v>2</v>
          </cell>
          <cell r="O75" t="str">
            <v>7.1833397589831218</v>
          </cell>
          <cell r="P75" t="str">
            <v>7.0817795976341644</v>
          </cell>
          <cell r="Q75" t="str">
            <v>5.6599981264112493</v>
          </cell>
          <cell r="R75">
            <v>13</v>
          </cell>
        </row>
        <row r="76">
          <cell r="E76" t="str">
            <v>GCA_000172575.2</v>
          </cell>
          <cell r="F76" t="str">
            <v>Bacteria</v>
          </cell>
          <cell r="G76" t="str">
            <v>Firmicutes</v>
          </cell>
          <cell r="H76" t="str">
            <v>3.34194</v>
          </cell>
          <cell r="I76">
            <v>1</v>
          </cell>
          <cell r="J76">
            <v>0</v>
          </cell>
          <cell r="K76" t="str">
            <v>Complete</v>
          </cell>
          <cell r="L76" t="str">
            <v>NA</v>
          </cell>
          <cell r="M76" t="str">
            <v>37.4</v>
          </cell>
          <cell r="N76">
            <v>4</v>
          </cell>
          <cell r="O76" t="str">
            <v>0.1523040304414984</v>
          </cell>
          <cell r="P76" t="str">
            <v>0.20930099172199856</v>
          </cell>
          <cell r="Q76" t="str">
            <v>0.3000138361358094</v>
          </cell>
          <cell r="R76">
            <v>42</v>
          </cell>
        </row>
        <row r="77">
          <cell r="E77" t="str">
            <v>GCA_000189295.2</v>
          </cell>
          <cell r="F77" t="str">
            <v>Bacteria</v>
          </cell>
          <cell r="G77" t="str">
            <v>Proteobacteria (d)</v>
          </cell>
          <cell r="H77" t="str">
            <v>3.85</v>
          </cell>
          <cell r="I77">
            <v>1</v>
          </cell>
          <cell r="J77">
            <v>0</v>
          </cell>
          <cell r="K77" t="str">
            <v>Complete</v>
          </cell>
          <cell r="L77" t="str">
            <v>NA</v>
          </cell>
          <cell r="M77" t="str">
            <v>65.2</v>
          </cell>
          <cell r="N77">
            <v>2</v>
          </cell>
          <cell r="O77" t="str">
            <v>5.2882174700640126E-2</v>
          </cell>
          <cell r="P77" t="str">
            <v>5.2134511026739085E-2</v>
          </cell>
          <cell r="Q77" t="str">
            <v>3.255286491999048E-2</v>
          </cell>
          <cell r="R77">
            <v>71</v>
          </cell>
        </row>
        <row r="78">
          <cell r="E78" t="str">
            <v>GCA_000195675.1</v>
          </cell>
          <cell r="F78" t="str">
            <v>Bacteria</v>
          </cell>
          <cell r="G78" t="str">
            <v>Proteobacteria (b)</v>
          </cell>
          <cell r="H78" t="str">
            <v>5.33918</v>
          </cell>
          <cell r="I78">
            <v>1</v>
          </cell>
          <cell r="J78">
            <v>0</v>
          </cell>
          <cell r="K78" t="str">
            <v>Complete</v>
          </cell>
          <cell r="L78" t="str">
            <v>NA</v>
          </cell>
          <cell r="M78" t="str">
            <v>68.1</v>
          </cell>
          <cell r="N78">
            <v>3</v>
          </cell>
          <cell r="O78" t="str">
            <v>0.47665646362705621</v>
          </cell>
          <cell r="P78" t="str">
            <v>0.46991735494248532</v>
          </cell>
          <cell r="Q78" t="str">
            <v>0.46946733371777455</v>
          </cell>
          <cell r="R78">
            <v>83</v>
          </cell>
        </row>
        <row r="79">
          <cell r="E79" t="str">
            <v>GCA_000195755.1</v>
          </cell>
          <cell r="F79" t="str">
            <v>Bacteria</v>
          </cell>
          <cell r="G79" t="str">
            <v>Proteobacteria (d)</v>
          </cell>
          <cell r="H79" t="str">
            <v>3.75</v>
          </cell>
          <cell r="I79">
            <v>2</v>
          </cell>
          <cell r="J79">
            <v>0</v>
          </cell>
          <cell r="K79" t="str">
            <v>Complete</v>
          </cell>
          <cell r="L79" t="str">
            <v>1 plasmid</v>
          </cell>
          <cell r="M79" t="str">
            <v>63.2</v>
          </cell>
          <cell r="N79">
            <v>5</v>
          </cell>
          <cell r="O79" t="str">
            <v>2.7146183012995262E-2</v>
          </cell>
          <cell r="P79" t="str">
            <v>2.6762382327059395E-2</v>
          </cell>
          <cell r="Q79" t="str">
            <v>5.3473506108571038E-2</v>
          </cell>
          <cell r="R79">
            <v>73</v>
          </cell>
        </row>
        <row r="80">
          <cell r="E80" t="str">
            <v>GCA_000196115.1</v>
          </cell>
          <cell r="F80" t="str">
            <v>Bacteria</v>
          </cell>
          <cell r="G80" t="str">
            <v>Planctomycetes</v>
          </cell>
          <cell r="H80" t="str">
            <v>7.14558</v>
          </cell>
          <cell r="I80">
            <v>1</v>
          </cell>
          <cell r="J80">
            <v>0</v>
          </cell>
          <cell r="K80" t="str">
            <v>Complete</v>
          </cell>
          <cell r="L80" t="str">
            <v>NA</v>
          </cell>
          <cell r="M80" t="str">
            <v>55.4</v>
          </cell>
          <cell r="N80">
            <v>1</v>
          </cell>
          <cell r="O80" t="str">
            <v>1.3177841732417428</v>
          </cell>
          <cell r="P80" t="str">
            <v>1.2991529546515088</v>
          </cell>
          <cell r="Q80" t="str">
            <v>0.77874528441682467</v>
          </cell>
          <cell r="R80">
            <v>49</v>
          </cell>
        </row>
        <row r="81">
          <cell r="E81" t="str">
            <v>GCA_000196135.1</v>
          </cell>
          <cell r="F81" t="str">
            <v>Bacteria</v>
          </cell>
          <cell r="G81" t="str">
            <v>Proteobacteria (e)</v>
          </cell>
          <cell r="H81" t="str">
            <v>2.1103</v>
          </cell>
          <cell r="I81">
            <v>1</v>
          </cell>
          <cell r="J81">
            <v>0</v>
          </cell>
          <cell r="K81" t="str">
            <v>Complete</v>
          </cell>
          <cell r="L81" t="str">
            <v>NA</v>
          </cell>
          <cell r="M81" t="str">
            <v>48.5</v>
          </cell>
          <cell r="N81">
            <v>3</v>
          </cell>
          <cell r="O81" t="str">
            <v>0.65604669177972719</v>
          </cell>
          <cell r="P81" t="str">
            <v>0.6467713115102256</v>
          </cell>
          <cell r="Q81" t="str">
            <v>0.53925178973275234</v>
          </cell>
          <cell r="R81">
            <v>75</v>
          </cell>
        </row>
        <row r="82">
          <cell r="E82" t="str">
            <v>GCA_000231215.1</v>
          </cell>
          <cell r="F82" t="str">
            <v>Bacteria</v>
          </cell>
          <cell r="G82" t="str">
            <v>Actinobacteria</v>
          </cell>
          <cell r="H82" t="str">
            <v>2.48</v>
          </cell>
          <cell r="I82">
            <v>1</v>
          </cell>
          <cell r="J82">
            <v>0</v>
          </cell>
          <cell r="K82" t="str">
            <v>Complete</v>
          </cell>
          <cell r="L82" t="str">
            <v>NA</v>
          </cell>
          <cell r="M82">
            <v>60</v>
          </cell>
          <cell r="N82">
            <v>3</v>
          </cell>
          <cell r="O82" t="str">
            <v>NP</v>
          </cell>
          <cell r="P82" t="str">
            <v>8.0934623972961889E-2</v>
          </cell>
          <cell r="Q82" t="str">
            <v>NP</v>
          </cell>
          <cell r="R82">
            <v>53</v>
          </cell>
        </row>
        <row r="83">
          <cell r="E83" t="str">
            <v>GCA_000243155.3</v>
          </cell>
          <cell r="F83" t="str">
            <v>Bacteria</v>
          </cell>
          <cell r="G83" t="str">
            <v>Firmicutes</v>
          </cell>
          <cell r="H83" t="str">
            <v>4.32</v>
          </cell>
          <cell r="I83">
            <v>1</v>
          </cell>
          <cell r="J83">
            <v>0</v>
          </cell>
          <cell r="K83" t="str">
            <v>Complete</v>
          </cell>
          <cell r="L83" t="str">
            <v>NA</v>
          </cell>
          <cell r="M83">
            <v>45</v>
          </cell>
          <cell r="N83">
            <v>6</v>
          </cell>
          <cell r="O83" t="str">
            <v>3.5346592464837586E-3</v>
          </cell>
          <cell r="P83" t="str">
            <v>3.4846851988358583E-3</v>
          </cell>
          <cell r="Q83" t="str">
            <v>NP</v>
          </cell>
          <cell r="R83">
            <v>32</v>
          </cell>
        </row>
        <row r="84">
          <cell r="E84" t="str">
            <v>GCA_000308215.1</v>
          </cell>
          <cell r="F84" t="str">
            <v>Archaea</v>
          </cell>
          <cell r="G84" t="str">
            <v>Euryarchaeota</v>
          </cell>
          <cell r="H84" t="str">
            <v>2.62</v>
          </cell>
          <cell r="I84">
            <v>26</v>
          </cell>
          <cell r="J84">
            <v>0</v>
          </cell>
          <cell r="K84" t="str">
            <v>Draft</v>
          </cell>
          <cell r="L84" t="str">
            <v>NA</v>
          </cell>
          <cell r="M84" t="str">
            <v>60.5</v>
          </cell>
          <cell r="N84">
            <v>1</v>
          </cell>
          <cell r="O84" t="str">
            <v>5.8281404369503187E-2</v>
          </cell>
          <cell r="P84" t="str">
            <v>5.7457404805232488E-2</v>
          </cell>
          <cell r="Q84" t="str">
            <v>NP</v>
          </cell>
          <cell r="R84">
            <v>18</v>
          </cell>
        </row>
        <row r="85">
          <cell r="E85" t="str">
            <v>GCA_000328665.1</v>
          </cell>
          <cell r="F85" t="str">
            <v>Archaea</v>
          </cell>
          <cell r="G85" t="str">
            <v>Euryarchaeota</v>
          </cell>
          <cell r="H85" t="str">
            <v>2.71</v>
          </cell>
          <cell r="I85">
            <v>2</v>
          </cell>
          <cell r="J85">
            <v>0</v>
          </cell>
          <cell r="K85" t="str">
            <v>Complete</v>
          </cell>
          <cell r="L85" t="str">
            <v>1 plasmid</v>
          </cell>
          <cell r="M85" t="str">
            <v>41.8</v>
          </cell>
          <cell r="N85">
            <v>2</v>
          </cell>
          <cell r="O85" t="str">
            <v>4.6954882979120038E-2</v>
          </cell>
          <cell r="P85" t="str">
            <v>4.629102109154646E-2</v>
          </cell>
          <cell r="Q85" t="str">
            <v>NP</v>
          </cell>
          <cell r="R85">
            <v>20</v>
          </cell>
        </row>
        <row r="86">
          <cell r="E86" t="str">
            <v>GCA_000767745.1</v>
          </cell>
          <cell r="F86" t="str">
            <v>Bacteria</v>
          </cell>
          <cell r="G86" t="str">
            <v>Firmicutes</v>
          </cell>
          <cell r="H86" t="str">
            <v>5.88</v>
          </cell>
          <cell r="I86">
            <v>1</v>
          </cell>
          <cell r="J86">
            <v>0</v>
          </cell>
          <cell r="K86" t="str">
            <v>Complete</v>
          </cell>
          <cell r="L86" t="str">
            <v>NA</v>
          </cell>
          <cell r="M86" t="str">
            <v>29.6</v>
          </cell>
          <cell r="N86">
            <v>7</v>
          </cell>
          <cell r="O86" t="str">
            <v>NP</v>
          </cell>
          <cell r="P86" t="str">
            <v>3.4135691743698203E-2</v>
          </cell>
          <cell r="Q86" t="str">
            <v>NP</v>
          </cell>
          <cell r="R86">
            <v>34</v>
          </cell>
        </row>
        <row r="87">
          <cell r="E87" t="str">
            <v>GCA_000817065.1</v>
          </cell>
          <cell r="F87" t="str">
            <v>Bacteria</v>
          </cell>
          <cell r="G87" t="str">
            <v>Firmicutes</v>
          </cell>
          <cell r="H87" t="str">
            <v>2.03</v>
          </cell>
          <cell r="I87">
            <v>1</v>
          </cell>
          <cell r="J87">
            <v>0</v>
          </cell>
          <cell r="K87" t="str">
            <v>Complete</v>
          </cell>
          <cell r="L87" t="str">
            <v>NA</v>
          </cell>
          <cell r="M87" t="str">
            <v>36.8</v>
          </cell>
          <cell r="N87">
            <v>5</v>
          </cell>
          <cell r="O87" t="str">
            <v>NP</v>
          </cell>
          <cell r="P87" t="str">
            <v>9.8875796774849992E-2</v>
          </cell>
          <cell r="Q87" t="str">
            <v>NP</v>
          </cell>
          <cell r="R87">
            <v>44</v>
          </cell>
        </row>
        <row r="88">
          <cell r="E88" t="str">
            <v>GCA_001481685.1</v>
          </cell>
          <cell r="F88" t="str">
            <v>Archaea</v>
          </cell>
          <cell r="G88" t="str">
            <v>Crenarchaeota</v>
          </cell>
          <cell r="H88" t="str">
            <v>1.394</v>
          </cell>
          <cell r="I88">
            <v>1</v>
          </cell>
          <cell r="J88">
            <v>0</v>
          </cell>
          <cell r="K88" t="str">
            <v>Complete</v>
          </cell>
          <cell r="L88" t="str">
            <v>NA</v>
          </cell>
          <cell r="M88" t="str">
            <v>44.9</v>
          </cell>
          <cell r="N88">
            <v>1</v>
          </cell>
          <cell r="O88" t="str">
            <v>1.0953893791111791</v>
          </cell>
          <cell r="P88" t="str">
            <v>1.0799024432547282</v>
          </cell>
          <cell r="Q88" t="str">
            <v>2.6971706587223108</v>
          </cell>
          <cell r="R88">
            <v>7</v>
          </cell>
        </row>
        <row r="89">
          <cell r="E89" t="str">
            <v>GCA_001639275.1</v>
          </cell>
          <cell r="F89" t="str">
            <v>Archaea</v>
          </cell>
          <cell r="G89" t="str">
            <v>Euryarchaeota</v>
          </cell>
          <cell r="H89" t="str">
            <v>2.14</v>
          </cell>
          <cell r="I89">
            <v>136</v>
          </cell>
          <cell r="J89">
            <v>0</v>
          </cell>
          <cell r="K89" t="str">
            <v>Draft</v>
          </cell>
          <cell r="L89" t="str">
            <v>NA</v>
          </cell>
          <cell r="M89">
            <v>28</v>
          </cell>
          <cell r="N89">
            <v>1</v>
          </cell>
          <cell r="O89" t="str">
            <v>0.76110793494379247</v>
          </cell>
          <cell r="P89" t="str">
            <v>0.75034716804839419</v>
          </cell>
          <cell r="Q89" t="str">
            <v>NP</v>
          </cell>
          <cell r="R89">
            <v>12</v>
          </cell>
        </row>
        <row r="90">
          <cell r="E90" t="str">
            <v>GCA_002563335.1</v>
          </cell>
          <cell r="F90" t="str">
            <v>Bacteria</v>
          </cell>
          <cell r="G90" t="str">
            <v>Proteobacteria (g)</v>
          </cell>
          <cell r="H90" t="str">
            <v>6.3</v>
          </cell>
          <cell r="I90">
            <v>59</v>
          </cell>
          <cell r="J90">
            <v>0</v>
          </cell>
          <cell r="K90" t="str">
            <v>Draft</v>
          </cell>
          <cell r="L90" t="str">
            <v>NA</v>
          </cell>
          <cell r="M90" t="str">
            <v>66.6</v>
          </cell>
          <cell r="N90">
            <v>2</v>
          </cell>
          <cell r="O90" t="str">
            <v>NP</v>
          </cell>
          <cell r="P90" t="str">
            <v>3.1859978960784997E-2</v>
          </cell>
          <cell r="Q90" t="str">
            <v>NP</v>
          </cell>
          <cell r="R90">
            <v>89</v>
          </cell>
        </row>
        <row r="91">
          <cell r="E91" t="str">
            <v>GCA_002952055.1</v>
          </cell>
          <cell r="F91" t="str">
            <v>Bacteria</v>
          </cell>
          <cell r="G91" t="str">
            <v>Proteobacteria (d)</v>
          </cell>
          <cell r="H91" t="str">
            <v>2.77</v>
          </cell>
          <cell r="I91">
            <v>1</v>
          </cell>
          <cell r="J91">
            <v>0</v>
          </cell>
          <cell r="K91" t="str">
            <v>Complete</v>
          </cell>
          <cell r="L91" t="str">
            <v>NA</v>
          </cell>
          <cell r="M91" t="str">
            <v>59.8</v>
          </cell>
          <cell r="N91">
            <v>2</v>
          </cell>
          <cell r="O91" t="str">
            <v>7.3500495522550349</v>
          </cell>
          <cell r="P91" t="str">
            <v>7.2461323990233018</v>
          </cell>
          <cell r="Q91" t="str">
            <v>3.6195965326198807</v>
          </cell>
          <cell r="R91">
            <v>69</v>
          </cell>
        </row>
        <row r="92">
          <cell r="E92" t="str">
            <v>GCA_003019295.1</v>
          </cell>
          <cell r="F92" t="str">
            <v>Bacteria</v>
          </cell>
          <cell r="G92" t="str">
            <v>Fusobacteria</v>
          </cell>
          <cell r="H92" t="str">
            <v>2.1745</v>
          </cell>
          <cell r="I92">
            <v>1</v>
          </cell>
          <cell r="J92">
            <v>0</v>
          </cell>
          <cell r="K92" t="str">
            <v>Complete</v>
          </cell>
          <cell r="L92" t="str">
            <v>NA</v>
          </cell>
          <cell r="M92" t="str">
            <v>27.2</v>
          </cell>
          <cell r="N92">
            <v>5</v>
          </cell>
          <cell r="O92" t="str">
            <v>2.8088715465274476</v>
          </cell>
          <cell r="P92" t="str">
            <v>2.7691588979482016</v>
          </cell>
          <cell r="Q92" t="str">
            <v>1.3832534921164039</v>
          </cell>
          <cell r="R92">
            <v>45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au1" displayName="Tableau1" ref="A1:R92" totalsRowShown="0" headerRowDxfId="19" dataDxfId="18" dataCellStyle="Normal">
  <sortState ref="A2:V92">
    <sortCondition ref="D2:D92"/>
  </sortState>
  <tableColumns count="18">
    <tableColumn id="1" name="Organism Name GTDB release 07-RS207 " dataDxfId="17" dataCellStyle="Normal"/>
    <tableColumn id="18" name="Strain Name" dataDxfId="16" dataCellStyle="Normal"/>
    <tableColumn id="16" name="Genome label" dataDxfId="15" dataCellStyle="Normal"/>
    <tableColumn id="19" name="Genbank Assembly Accession ID" dataDxfId="14" dataCellStyle="Normal"/>
    <tableColumn id="2" name="Kingdom" dataDxfId="13" dataCellStyle="Normal"/>
    <tableColumn id="3" name="Phylum NCBI" dataDxfId="12" dataCellStyle="Normal"/>
    <tableColumn id="8" name="Phylum GTBD" dataDxfId="11"/>
    <tableColumn id="4" name="Genome _x000a_Size (Mbp)" dataDxfId="10" dataCellStyle="Normal"/>
    <tableColumn id="20" name="# scaffolds" dataDxfId="9" dataCellStyle="Normal"/>
    <tableColumn id="21" name="# Ns" dataDxfId="8" dataCellStyle="Normal"/>
    <tableColumn id="22" name="Genome_x000a_Status" dataDxfId="7" dataCellStyle="Normal"/>
    <tableColumn id="23" name="Notes" dataDxfId="6" dataCellStyle="Normal"/>
    <tableColumn id="5" name="GC %" dataDxfId="5" dataCellStyle="Normal"/>
    <tableColumn id="6" name="# rRNA operons" dataDxfId="4" dataCellStyle="Normal"/>
    <tableColumn id="7" name="MOCK1 %  genomes" dataDxfId="3" dataCellStyle="Normal"/>
    <tableColumn id="10" name="MOCK2 %  genomes" dataDxfId="2" dataCellStyle="Normal"/>
    <tableColumn id="13" name="MOCK3 %  genomes" dataDxfId="1" dataCellStyle="Normal"/>
    <tableColumn id="9" name="Phylogenetic_position" dataDxfId="0" dataCellStyle="Normal">
      <calculatedColumnFormula>VLOOKUP(Tableau1[[#This Row],[Genbank Assembly Accession ID]],[1]data_genome_mock_composition!$E:$R,14,FALSE)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"/>
  <sheetViews>
    <sheetView tabSelected="1" topLeftCell="J1" zoomScale="110" zoomScaleNormal="110" workbookViewId="0">
      <selection activeCell="M3" sqref="M3"/>
    </sheetView>
  </sheetViews>
  <sheetFormatPr baseColWidth="10" defaultColWidth="10.58203125" defaultRowHeight="14.5" x14ac:dyDescent="0.3"/>
  <cols>
    <col min="1" max="1" width="38.5" style="4" customWidth="1"/>
    <col min="2" max="2" width="20.08203125" style="4" customWidth="1"/>
    <col min="3" max="3" width="37.08203125" style="10" customWidth="1"/>
    <col min="4" max="4" width="20" style="5" customWidth="1"/>
    <col min="5" max="5" width="17.08203125" style="5" customWidth="1"/>
    <col min="6" max="6" width="17.08203125" style="6" bestFit="1" customWidth="1"/>
    <col min="7" max="7" width="18.08203125" style="6" bestFit="1" customWidth="1"/>
    <col min="8" max="8" width="13.5" style="5" customWidth="1"/>
    <col min="9" max="9" width="10.33203125" style="5" customWidth="1"/>
    <col min="10" max="10" width="11.08203125" style="13" customWidth="1"/>
    <col min="11" max="11" width="12.58203125" style="8" customWidth="1"/>
    <col min="12" max="12" width="23" style="5" bestFit="1" customWidth="1"/>
    <col min="13" max="13" width="16.5" style="8" customWidth="1"/>
    <col min="14" max="14" width="23.33203125" style="9" customWidth="1"/>
    <col min="15" max="15" width="13.25" style="17" customWidth="1"/>
    <col min="16" max="16" width="14.33203125" style="17" customWidth="1"/>
    <col min="17" max="17" width="13.83203125" style="19" customWidth="1"/>
    <col min="18" max="18" width="10.58203125" style="21"/>
    <col min="19" max="35" width="10.58203125" style="7"/>
    <col min="36" max="16384" width="10.58203125" style="5"/>
  </cols>
  <sheetData>
    <row r="1" spans="1:38" s="3" customFormat="1" ht="43.4" customHeight="1" x14ac:dyDescent="0.3">
      <c r="A1" s="11" t="s">
        <v>546</v>
      </c>
      <c r="B1" s="11" t="s">
        <v>72</v>
      </c>
      <c r="C1" s="11" t="s">
        <v>353</v>
      </c>
      <c r="D1" s="11" t="s">
        <v>262</v>
      </c>
      <c r="E1" s="1" t="s">
        <v>0</v>
      </c>
      <c r="F1" s="1" t="s">
        <v>514</v>
      </c>
      <c r="G1" s="1" t="s">
        <v>515</v>
      </c>
      <c r="H1" s="2" t="s">
        <v>263</v>
      </c>
      <c r="I1" s="2" t="s">
        <v>254</v>
      </c>
      <c r="J1" s="2" t="s">
        <v>253</v>
      </c>
      <c r="K1" s="2" t="s">
        <v>354</v>
      </c>
      <c r="L1" s="2" t="s">
        <v>3</v>
      </c>
      <c r="M1" s="1" t="s">
        <v>1</v>
      </c>
      <c r="N1" s="1" t="s">
        <v>2</v>
      </c>
      <c r="O1" s="14" t="s">
        <v>511</v>
      </c>
      <c r="P1" s="15" t="s">
        <v>512</v>
      </c>
      <c r="Q1" s="16" t="s">
        <v>513</v>
      </c>
      <c r="R1" s="1" t="s">
        <v>599</v>
      </c>
    </row>
    <row r="2" spans="1:38" ht="16.399999999999999" customHeight="1" x14ac:dyDescent="0.3">
      <c r="A2" s="12" t="s">
        <v>556</v>
      </c>
      <c r="B2" s="12" t="s">
        <v>132</v>
      </c>
      <c r="C2" s="12" t="s">
        <v>277</v>
      </c>
      <c r="D2" s="12" t="s">
        <v>133</v>
      </c>
      <c r="E2" s="12" t="s">
        <v>27</v>
      </c>
      <c r="F2" s="12" t="s">
        <v>270</v>
      </c>
      <c r="G2" s="12" t="s">
        <v>270</v>
      </c>
      <c r="H2" s="13" t="s">
        <v>422</v>
      </c>
      <c r="I2" s="13">
        <v>1</v>
      </c>
      <c r="J2" s="13">
        <v>0</v>
      </c>
      <c r="K2" s="13" t="s">
        <v>255</v>
      </c>
      <c r="L2" s="13"/>
      <c r="M2" s="13" t="s">
        <v>356</v>
      </c>
      <c r="N2" s="13">
        <v>7</v>
      </c>
      <c r="O2" s="20" t="s">
        <v>6</v>
      </c>
      <c r="P2" s="20">
        <v>4.3258161088996876E-2</v>
      </c>
      <c r="Q2" s="20" t="s">
        <v>6</v>
      </c>
      <c r="R2" s="22">
        <f>VLOOKUP(Tableau1[[#This Row],[Genbank Assembly Accession ID]],[1]data_genome_mock_composition!$E:$R,14,FALSE)</f>
        <v>84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8" ht="16.399999999999999" customHeight="1" x14ac:dyDescent="0.3">
      <c r="A3" s="12" t="s">
        <v>557</v>
      </c>
      <c r="B3" s="12" t="s">
        <v>143</v>
      </c>
      <c r="C3" s="12" t="s">
        <v>279</v>
      </c>
      <c r="D3" s="12" t="s">
        <v>142</v>
      </c>
      <c r="E3" s="12" t="s">
        <v>5</v>
      </c>
      <c r="F3" s="12" t="s">
        <v>355</v>
      </c>
      <c r="G3" s="12" t="s">
        <v>516</v>
      </c>
      <c r="H3" s="13" t="s">
        <v>423</v>
      </c>
      <c r="I3" s="13">
        <v>3</v>
      </c>
      <c r="J3" s="13">
        <v>0</v>
      </c>
      <c r="K3" s="13" t="s">
        <v>255</v>
      </c>
      <c r="L3" s="13" t="s">
        <v>256</v>
      </c>
      <c r="M3" s="13" t="s">
        <v>357</v>
      </c>
      <c r="N3" s="13">
        <v>1</v>
      </c>
      <c r="O3" s="20">
        <v>2.5322931915107527</v>
      </c>
      <c r="P3" s="20">
        <v>2.4964908887182302</v>
      </c>
      <c r="Q3" s="20">
        <v>2.4941000983475301</v>
      </c>
      <c r="R3" s="22">
        <f>VLOOKUP(Tableau1[[#This Row],[Genbank Assembly Accession ID]],[1]data_genome_mock_composition!$E:$R,14,FALSE)</f>
        <v>22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8" ht="16.399999999999999" customHeight="1" x14ac:dyDescent="0.3">
      <c r="A4" s="12" t="s">
        <v>545</v>
      </c>
      <c r="B4" s="12" t="s">
        <v>104</v>
      </c>
      <c r="C4" s="12" t="s">
        <v>544</v>
      </c>
      <c r="D4" s="12" t="s">
        <v>109</v>
      </c>
      <c r="E4" s="12" t="s">
        <v>27</v>
      </c>
      <c r="F4" s="12" t="s">
        <v>35</v>
      </c>
      <c r="G4" s="12" t="s">
        <v>517</v>
      </c>
      <c r="H4" s="13" t="s">
        <v>424</v>
      </c>
      <c r="I4" s="13">
        <v>1</v>
      </c>
      <c r="J4" s="13">
        <v>0</v>
      </c>
      <c r="K4" s="13" t="s">
        <v>255</v>
      </c>
      <c r="L4" s="13"/>
      <c r="M4" s="13" t="s">
        <v>358</v>
      </c>
      <c r="N4" s="13">
        <v>2</v>
      </c>
      <c r="O4" s="20">
        <v>0.24328205268728792</v>
      </c>
      <c r="P4" s="20">
        <v>0.23984245977462795</v>
      </c>
      <c r="Q4" s="20">
        <v>0.60019509919072922</v>
      </c>
      <c r="R4" s="22">
        <f>VLOOKUP(Tableau1[[#This Row],[Genbank Assembly Accession ID]],[1]data_genome_mock_composition!$E:$R,14,FALSE)</f>
        <v>61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8" ht="16.399999999999999" customHeight="1" x14ac:dyDescent="0.3">
      <c r="A5" s="12" t="s">
        <v>167</v>
      </c>
      <c r="B5" s="12" t="s">
        <v>168</v>
      </c>
      <c r="C5" s="12" t="s">
        <v>352</v>
      </c>
      <c r="D5" s="12" t="s">
        <v>249</v>
      </c>
      <c r="E5" s="12" t="s">
        <v>27</v>
      </c>
      <c r="F5" s="12" t="s">
        <v>274</v>
      </c>
      <c r="G5" s="12" t="s">
        <v>274</v>
      </c>
      <c r="H5" s="13" t="s">
        <v>425</v>
      </c>
      <c r="I5" s="13">
        <v>1</v>
      </c>
      <c r="J5" s="13">
        <v>0</v>
      </c>
      <c r="K5" s="13" t="s">
        <v>255</v>
      </c>
      <c r="L5" s="13"/>
      <c r="M5" s="13" t="s">
        <v>359</v>
      </c>
      <c r="N5" s="13">
        <v>3</v>
      </c>
      <c r="O5" s="20" t="s">
        <v>6</v>
      </c>
      <c r="P5" s="20" t="s">
        <v>6</v>
      </c>
      <c r="Q5" s="20">
        <v>4.8757427665180549E-2</v>
      </c>
      <c r="R5" s="22">
        <f>VLOOKUP(Tableau1[[#This Row],[Genbank Assembly Accession ID]],[1]data_genome_mock_composition!$E:$R,14,FALSE)</f>
        <v>76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8" ht="16.399999999999999" customHeight="1" x14ac:dyDescent="0.3">
      <c r="A6" s="12" t="s">
        <v>14</v>
      </c>
      <c r="B6" s="12" t="s">
        <v>151</v>
      </c>
      <c r="C6" s="12" t="s">
        <v>313</v>
      </c>
      <c r="D6" s="12" t="s">
        <v>192</v>
      </c>
      <c r="E6" s="12" t="s">
        <v>5</v>
      </c>
      <c r="F6" s="12" t="s">
        <v>355</v>
      </c>
      <c r="G6" s="12" t="s">
        <v>518</v>
      </c>
      <c r="H6" s="13" t="s">
        <v>426</v>
      </c>
      <c r="I6" s="13">
        <v>1</v>
      </c>
      <c r="J6" s="13">
        <v>0</v>
      </c>
      <c r="K6" s="13" t="s">
        <v>255</v>
      </c>
      <c r="L6" s="13"/>
      <c r="M6" s="13" t="s">
        <v>360</v>
      </c>
      <c r="N6" s="13">
        <v>1</v>
      </c>
      <c r="O6" s="20">
        <v>0.21020646503806134</v>
      </c>
      <c r="P6" s="20">
        <v>0.20723450447067179</v>
      </c>
      <c r="Q6" s="20">
        <v>0.26027388413701186</v>
      </c>
      <c r="R6" s="22">
        <f>VLOOKUP(Tableau1[[#This Row],[Genbank Assembly Accession ID]],[1]data_genome_mock_composition!$E:$R,14,FALSE)</f>
        <v>11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8" ht="16.399999999999999" customHeight="1" x14ac:dyDescent="0.3">
      <c r="A7" s="12" t="s">
        <v>558</v>
      </c>
      <c r="B7" s="12" t="s">
        <v>200</v>
      </c>
      <c r="C7" s="12" t="s">
        <v>289</v>
      </c>
      <c r="D7" s="12" t="s">
        <v>219</v>
      </c>
      <c r="E7" s="12" t="s">
        <v>5</v>
      </c>
      <c r="F7" s="12" t="s">
        <v>19</v>
      </c>
      <c r="G7" s="12" t="s">
        <v>519</v>
      </c>
      <c r="H7" s="13" t="s">
        <v>427</v>
      </c>
      <c r="I7" s="13">
        <v>1</v>
      </c>
      <c r="J7" s="13">
        <v>0</v>
      </c>
      <c r="K7" s="13" t="s">
        <v>255</v>
      </c>
      <c r="L7" s="13"/>
      <c r="M7" s="13" t="s">
        <v>361</v>
      </c>
      <c r="N7" s="13">
        <v>1</v>
      </c>
      <c r="O7" s="20">
        <v>0.22902450538089439</v>
      </c>
      <c r="P7" s="20">
        <v>0.22578648984776287</v>
      </c>
      <c r="Q7" s="20">
        <v>0.11278513153796822</v>
      </c>
      <c r="R7" s="22">
        <f>VLOOKUP(Tableau1[[#This Row],[Genbank Assembly Accession ID]],[1]data_genome_mock_composition!$E:$R,14,FALSE)</f>
        <v>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8" ht="16.399999999999999" customHeight="1" x14ac:dyDescent="0.3">
      <c r="A8" s="12" t="s">
        <v>559</v>
      </c>
      <c r="B8" s="12" t="s">
        <v>237</v>
      </c>
      <c r="C8" s="12" t="s">
        <v>350</v>
      </c>
      <c r="D8" s="12" t="s">
        <v>238</v>
      </c>
      <c r="E8" s="12" t="s">
        <v>27</v>
      </c>
      <c r="F8" s="12" t="s">
        <v>43</v>
      </c>
      <c r="G8" s="12" t="s">
        <v>43</v>
      </c>
      <c r="H8" s="13" t="s">
        <v>428</v>
      </c>
      <c r="I8" s="13">
        <v>1</v>
      </c>
      <c r="J8" s="13">
        <v>0</v>
      </c>
      <c r="K8" s="13" t="s">
        <v>255</v>
      </c>
      <c r="L8" s="13"/>
      <c r="M8" s="13" t="s">
        <v>362</v>
      </c>
      <c r="N8" s="13">
        <v>7</v>
      </c>
      <c r="O8" s="20" t="s">
        <v>6</v>
      </c>
      <c r="P8" s="20">
        <v>9.29249386356229E-2</v>
      </c>
      <c r="Q8" s="20" t="s">
        <v>6</v>
      </c>
      <c r="R8" s="22">
        <f>VLOOKUP(Tableau1[[#This Row],[Genbank Assembly Accession ID]],[1]data_genome_mock_composition!$E:$R,14,FALSE)</f>
        <v>43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8" ht="16.399999999999999" customHeight="1" x14ac:dyDescent="0.3">
      <c r="A9" s="12" t="s">
        <v>16</v>
      </c>
      <c r="B9" s="12" t="s">
        <v>158</v>
      </c>
      <c r="C9" s="12" t="s">
        <v>320</v>
      </c>
      <c r="D9" s="12" t="s">
        <v>222</v>
      </c>
      <c r="E9" s="12" t="s">
        <v>5</v>
      </c>
      <c r="F9" s="12" t="s">
        <v>355</v>
      </c>
      <c r="G9" s="12" t="s">
        <v>520</v>
      </c>
      <c r="H9" s="13" t="s">
        <v>429</v>
      </c>
      <c r="I9" s="13">
        <v>1</v>
      </c>
      <c r="J9" s="13">
        <v>1</v>
      </c>
      <c r="K9" s="13" t="s">
        <v>255</v>
      </c>
      <c r="L9" s="13"/>
      <c r="M9" s="13" t="s">
        <v>363</v>
      </c>
      <c r="N9" s="13">
        <v>1</v>
      </c>
      <c r="O9" s="20">
        <v>0.40183494591604835</v>
      </c>
      <c r="P9" s="20">
        <v>0.39615368576239246</v>
      </c>
      <c r="Q9" s="20" t="s">
        <v>6</v>
      </c>
      <c r="R9" s="22">
        <f>VLOOKUP(Tableau1[[#This Row],[Genbank Assembly Accession ID]],[1]data_genome_mock_composition!$E:$R,14,FALSE)</f>
        <v>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8" ht="16.399999999999999" customHeight="1" x14ac:dyDescent="0.3">
      <c r="A10" s="12" t="s">
        <v>560</v>
      </c>
      <c r="B10" s="12" t="s">
        <v>185</v>
      </c>
      <c r="C10" s="12" t="s">
        <v>284</v>
      </c>
      <c r="D10" s="12" t="s">
        <v>193</v>
      </c>
      <c r="E10" s="12" t="s">
        <v>5</v>
      </c>
      <c r="F10" s="12" t="s">
        <v>355</v>
      </c>
      <c r="G10" s="12" t="s">
        <v>516</v>
      </c>
      <c r="H10" s="13" t="s">
        <v>430</v>
      </c>
      <c r="I10" s="13">
        <v>1</v>
      </c>
      <c r="J10" s="13">
        <v>0</v>
      </c>
      <c r="K10" s="13" t="s">
        <v>255</v>
      </c>
      <c r="L10" s="13"/>
      <c r="M10" s="13" t="s">
        <v>364</v>
      </c>
      <c r="N10" s="13">
        <v>3</v>
      </c>
      <c r="O10" s="20">
        <v>0.17699445934659061</v>
      </c>
      <c r="P10" s="20">
        <v>0.17449205984270635</v>
      </c>
      <c r="Q10" s="20">
        <v>0.17432495571333809</v>
      </c>
      <c r="R10" s="22">
        <f>VLOOKUP(Tableau1[[#This Row],[Genbank Assembly Accession ID]],[1]data_genome_mock_composition!$E:$R,14,FALSE)</f>
        <v>21</v>
      </c>
      <c r="AJ10" s="7"/>
      <c r="AK10" s="7"/>
      <c r="AL10" s="7"/>
    </row>
    <row r="11" spans="1:38" ht="16.399999999999999" customHeight="1" x14ac:dyDescent="0.3">
      <c r="A11" s="12" t="s">
        <v>561</v>
      </c>
      <c r="B11" s="12" t="s">
        <v>199</v>
      </c>
      <c r="C11" s="12" t="s">
        <v>288</v>
      </c>
      <c r="D11" s="12" t="s">
        <v>216</v>
      </c>
      <c r="E11" s="12" t="s">
        <v>27</v>
      </c>
      <c r="F11" s="12" t="s">
        <v>270</v>
      </c>
      <c r="G11" s="12" t="s">
        <v>270</v>
      </c>
      <c r="H11" s="13" t="s">
        <v>431</v>
      </c>
      <c r="I11" s="13">
        <v>1</v>
      </c>
      <c r="J11" s="13">
        <v>0</v>
      </c>
      <c r="K11" s="13" t="s">
        <v>255</v>
      </c>
      <c r="L11" s="13"/>
      <c r="M11" s="13" t="s">
        <v>365</v>
      </c>
      <c r="N11" s="13">
        <v>7</v>
      </c>
      <c r="O11" s="20">
        <v>1.4824978587194015</v>
      </c>
      <c r="P11" s="20">
        <v>1.4615378698030008</v>
      </c>
      <c r="Q11" s="20">
        <v>1.1843343282541523</v>
      </c>
      <c r="R11" s="22">
        <f>VLOOKUP(Tableau1[[#This Row],[Genbank Assembly Accession ID]],[1]data_genome_mock_composition!$E:$R,14,FALSE)</f>
        <v>91</v>
      </c>
      <c r="AH11" s="5"/>
      <c r="AI11" s="5"/>
    </row>
    <row r="12" spans="1:38" ht="16.399999999999999" customHeight="1" x14ac:dyDescent="0.3">
      <c r="A12" s="12" t="s">
        <v>562</v>
      </c>
      <c r="B12" s="12" t="s">
        <v>215</v>
      </c>
      <c r="C12" s="12" t="s">
        <v>349</v>
      </c>
      <c r="D12" s="12" t="s">
        <v>236</v>
      </c>
      <c r="E12" s="12" t="s">
        <v>27</v>
      </c>
      <c r="F12" s="12" t="s">
        <v>43</v>
      </c>
      <c r="G12" s="12" t="s">
        <v>43</v>
      </c>
      <c r="H12" s="13" t="s">
        <v>432</v>
      </c>
      <c r="I12" s="13">
        <v>7</v>
      </c>
      <c r="J12" s="13">
        <v>0</v>
      </c>
      <c r="K12" s="13" t="s">
        <v>255</v>
      </c>
      <c r="L12" s="13" t="s">
        <v>257</v>
      </c>
      <c r="M12" s="13">
        <v>32</v>
      </c>
      <c r="N12" s="13">
        <v>5</v>
      </c>
      <c r="O12" s="20" t="s">
        <v>6</v>
      </c>
      <c r="P12" s="20">
        <v>7.8405416973806819E-2</v>
      </c>
      <c r="Q12" s="20" t="s">
        <v>6</v>
      </c>
      <c r="R12" s="22">
        <f>VLOOKUP(Tableau1[[#This Row],[Genbank Assembly Accession ID]],[1]data_genome_mock_composition!$E:$R,14,FALSE)</f>
        <v>40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8" ht="16.399999999999999" customHeight="1" x14ac:dyDescent="0.3">
      <c r="A13" s="12" t="s">
        <v>563</v>
      </c>
      <c r="B13" s="12" t="s">
        <v>140</v>
      </c>
      <c r="C13" s="12" t="s">
        <v>278</v>
      </c>
      <c r="D13" s="12" t="s">
        <v>141</v>
      </c>
      <c r="E13" s="12" t="s">
        <v>27</v>
      </c>
      <c r="F13" s="12" t="s">
        <v>272</v>
      </c>
      <c r="G13" s="12" t="s">
        <v>521</v>
      </c>
      <c r="H13" s="13" t="s">
        <v>433</v>
      </c>
      <c r="I13" s="13">
        <v>1</v>
      </c>
      <c r="J13" s="13">
        <v>0</v>
      </c>
      <c r="K13" s="13" t="s">
        <v>255</v>
      </c>
      <c r="L13" s="13"/>
      <c r="M13" s="13" t="s">
        <v>366</v>
      </c>
      <c r="N13" s="13">
        <v>2</v>
      </c>
      <c r="O13" s="20">
        <v>0.58717317291585591</v>
      </c>
      <c r="P13" s="20">
        <v>0.57887154662753526</v>
      </c>
      <c r="Q13" s="20">
        <v>0.10120550725111149</v>
      </c>
      <c r="R13" s="22">
        <f>VLOOKUP(Tableau1[[#This Row],[Genbank Assembly Accession ID]],[1]data_genome_mock_composition!$E:$R,14,FALSE)</f>
        <v>68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8" ht="16.399999999999999" customHeight="1" x14ac:dyDescent="0.3">
      <c r="A14" s="12" t="s">
        <v>564</v>
      </c>
      <c r="B14" s="12" t="s">
        <v>86</v>
      </c>
      <c r="C14" s="12" t="s">
        <v>328</v>
      </c>
      <c r="D14" s="12" t="s">
        <v>85</v>
      </c>
      <c r="E14" s="12" t="s">
        <v>27</v>
      </c>
      <c r="F14" s="12" t="s">
        <v>43</v>
      </c>
      <c r="G14" s="12" t="s">
        <v>43</v>
      </c>
      <c r="H14" s="13" t="s">
        <v>434</v>
      </c>
      <c r="I14" s="13">
        <v>2</v>
      </c>
      <c r="J14" s="13">
        <v>30</v>
      </c>
      <c r="K14" s="13" t="s">
        <v>255</v>
      </c>
      <c r="L14" s="13" t="s">
        <v>260</v>
      </c>
      <c r="M14" s="13" t="s">
        <v>367</v>
      </c>
      <c r="N14" s="13">
        <v>12</v>
      </c>
      <c r="O14" s="20" t="s">
        <v>6</v>
      </c>
      <c r="P14" s="20">
        <v>3.710126939980507E-2</v>
      </c>
      <c r="Q14" s="20" t="s">
        <v>6</v>
      </c>
      <c r="R14" s="22">
        <f>VLOOKUP(Tableau1[[#This Row],[Genbank Assembly Accession ID]],[1]data_genome_mock_composition!$E:$R,14,FALSE)</f>
        <v>38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8" ht="16.399999999999999" customHeight="1" x14ac:dyDescent="0.3">
      <c r="A15" s="12" t="s">
        <v>24</v>
      </c>
      <c r="B15" s="12" t="s">
        <v>152</v>
      </c>
      <c r="C15" s="12" t="s">
        <v>314</v>
      </c>
      <c r="D15" s="12" t="s">
        <v>196</v>
      </c>
      <c r="E15" s="12" t="s">
        <v>5</v>
      </c>
      <c r="F15" s="12" t="s">
        <v>25</v>
      </c>
      <c r="G15" s="12" t="s">
        <v>25</v>
      </c>
      <c r="H15" s="13" t="s">
        <v>435</v>
      </c>
      <c r="I15" s="13">
        <v>1</v>
      </c>
      <c r="J15" s="13">
        <v>0</v>
      </c>
      <c r="K15" s="13" t="s">
        <v>255</v>
      </c>
      <c r="L15" s="13"/>
      <c r="M15" s="13" t="s">
        <v>368</v>
      </c>
      <c r="N15" s="13">
        <v>1</v>
      </c>
      <c r="O15" s="20">
        <v>0.95565644280442541</v>
      </c>
      <c r="P15" s="20">
        <v>0.94214509212607067</v>
      </c>
      <c r="Q15" s="20">
        <v>0.62408492460896037</v>
      </c>
      <c r="R15" s="22">
        <f>VLOOKUP(Tableau1[[#This Row],[Genbank Assembly Accession ID]],[1]data_genome_mock_composition!$E:$R,14,FALSE)</f>
        <v>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8" ht="16.399999999999999" customHeight="1" x14ac:dyDescent="0.3">
      <c r="A16" s="12" t="s">
        <v>67</v>
      </c>
      <c r="B16" s="12" t="s">
        <v>165</v>
      </c>
      <c r="C16" s="12" t="s">
        <v>326</v>
      </c>
      <c r="D16" s="12" t="s">
        <v>247</v>
      </c>
      <c r="E16" s="12" t="s">
        <v>27</v>
      </c>
      <c r="F16" s="12" t="s">
        <v>68</v>
      </c>
      <c r="G16" s="12" t="s">
        <v>522</v>
      </c>
      <c r="H16" s="13" t="s">
        <v>436</v>
      </c>
      <c r="I16" s="13">
        <v>1</v>
      </c>
      <c r="J16" s="13">
        <v>0</v>
      </c>
      <c r="K16" s="13" t="s">
        <v>255</v>
      </c>
      <c r="L16" s="13"/>
      <c r="M16" s="13" t="s">
        <v>369</v>
      </c>
      <c r="N16" s="13">
        <v>2</v>
      </c>
      <c r="O16" s="20">
        <v>1.2674647562518013</v>
      </c>
      <c r="P16" s="20">
        <v>1.2495449683163811</v>
      </c>
      <c r="Q16" s="20">
        <v>1.5604354107855598</v>
      </c>
      <c r="R16" s="22">
        <f>VLOOKUP(Tableau1[[#This Row],[Genbank Assembly Accession ID]],[1]data_genome_mock_composition!$E:$R,14,FALSE)</f>
        <v>50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8" ht="17.149999999999999" customHeight="1" x14ac:dyDescent="0.3">
      <c r="A17" s="12" t="s">
        <v>565</v>
      </c>
      <c r="B17" s="12" t="s">
        <v>170</v>
      </c>
      <c r="C17" s="12" t="s">
        <v>338</v>
      </c>
      <c r="D17" s="12" t="s">
        <v>171</v>
      </c>
      <c r="E17" s="12" t="s">
        <v>27</v>
      </c>
      <c r="F17" s="12" t="s">
        <v>273</v>
      </c>
      <c r="G17" s="12" t="s">
        <v>523</v>
      </c>
      <c r="H17" s="13" t="s">
        <v>437</v>
      </c>
      <c r="I17" s="13">
        <v>1</v>
      </c>
      <c r="J17" s="13">
        <v>8</v>
      </c>
      <c r="K17" s="13" t="s">
        <v>255</v>
      </c>
      <c r="L17" s="13"/>
      <c r="M17" s="13" t="s">
        <v>370</v>
      </c>
      <c r="N17" s="13">
        <v>2</v>
      </c>
      <c r="O17" s="20" t="s">
        <v>6</v>
      </c>
      <c r="P17" s="20">
        <v>0.1209143779837021</v>
      </c>
      <c r="Q17" s="20" t="s">
        <v>6</v>
      </c>
      <c r="R17" s="22">
        <f>VLOOKUP(Tableau1[[#This Row],[Genbank Assembly Accession ID]],[1]data_genome_mock_composition!$E:$R,14,FALSE)</f>
        <v>74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8" ht="16.399999999999999" customHeight="1" x14ac:dyDescent="0.3">
      <c r="A18" s="12" t="s">
        <v>566</v>
      </c>
      <c r="B18" s="12" t="s">
        <v>116</v>
      </c>
      <c r="C18" s="12" t="s">
        <v>276</v>
      </c>
      <c r="D18" s="12" t="s">
        <v>117</v>
      </c>
      <c r="E18" s="12" t="s">
        <v>27</v>
      </c>
      <c r="F18" s="12" t="s">
        <v>525</v>
      </c>
      <c r="G18" s="12" t="s">
        <v>524</v>
      </c>
      <c r="H18" s="13" t="s">
        <v>438</v>
      </c>
      <c r="I18" s="13">
        <v>4</v>
      </c>
      <c r="J18" s="13">
        <v>27</v>
      </c>
      <c r="K18" s="13" t="s">
        <v>255</v>
      </c>
      <c r="L18" s="13" t="s">
        <v>261</v>
      </c>
      <c r="M18" s="13" t="s">
        <v>371</v>
      </c>
      <c r="N18" s="13">
        <v>3</v>
      </c>
      <c r="O18" s="20">
        <v>0.6198437959638331</v>
      </c>
      <c r="P18" s="20">
        <v>0.67126240993609865</v>
      </c>
      <c r="Q18" s="20">
        <v>0.45787129161903911</v>
      </c>
      <c r="R18" s="22">
        <f>VLOOKUP(Tableau1[[#This Row],[Genbank Assembly Accession ID]],[1]data_genome_mock_composition!$E:$R,14,FALSE)</f>
        <v>24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8" ht="16.399999999999999" customHeight="1" x14ac:dyDescent="0.3">
      <c r="A19" s="12" t="s">
        <v>7</v>
      </c>
      <c r="B19" s="12" t="s">
        <v>267</v>
      </c>
      <c r="C19" s="12" t="s">
        <v>302</v>
      </c>
      <c r="D19" s="12" t="s">
        <v>268</v>
      </c>
      <c r="E19" s="12" t="s">
        <v>5</v>
      </c>
      <c r="F19" s="12" t="s">
        <v>355</v>
      </c>
      <c r="G19" s="12" t="s">
        <v>516</v>
      </c>
      <c r="H19" s="13" t="s">
        <v>439</v>
      </c>
      <c r="I19" s="13">
        <v>1</v>
      </c>
      <c r="J19" s="13">
        <v>0</v>
      </c>
      <c r="K19" s="13" t="s">
        <v>255</v>
      </c>
      <c r="L19" s="13"/>
      <c r="M19" s="13" t="s">
        <v>372</v>
      </c>
      <c r="N19" s="13">
        <v>1</v>
      </c>
      <c r="O19" s="20">
        <v>1.168267837618576</v>
      </c>
      <c r="P19" s="20">
        <v>1.1517505247713085</v>
      </c>
      <c r="Q19" s="20">
        <v>0.92051803115654329</v>
      </c>
      <c r="R19" s="22">
        <f>VLOOKUP(Tableau1[[#This Row],[Genbank Assembly Accession ID]],[1]data_genome_mock_composition!$E:$R,14,FALSE)</f>
        <v>19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8" ht="16.399999999999999" customHeight="1" x14ac:dyDescent="0.3">
      <c r="A20" s="12" t="s">
        <v>567</v>
      </c>
      <c r="B20" s="12" t="s">
        <v>186</v>
      </c>
      <c r="C20" s="12" t="s">
        <v>347</v>
      </c>
      <c r="D20" s="12" t="s">
        <v>197</v>
      </c>
      <c r="E20" s="12" t="s">
        <v>27</v>
      </c>
      <c r="F20" s="12" t="s">
        <v>271</v>
      </c>
      <c r="G20" s="12" t="s">
        <v>270</v>
      </c>
      <c r="H20" s="13" t="s">
        <v>440</v>
      </c>
      <c r="I20" s="13">
        <v>1</v>
      </c>
      <c r="J20" s="13">
        <v>0</v>
      </c>
      <c r="K20" s="13" t="s">
        <v>255</v>
      </c>
      <c r="L20" s="13"/>
      <c r="M20" s="13" t="s">
        <v>373</v>
      </c>
      <c r="N20" s="13">
        <v>4</v>
      </c>
      <c r="O20" s="20" t="s">
        <v>6</v>
      </c>
      <c r="P20" s="20">
        <v>8.8421968040945154E-2</v>
      </c>
      <c r="Q20" s="20" t="s">
        <v>6</v>
      </c>
      <c r="R20" s="22">
        <f>VLOOKUP(Tableau1[[#This Row],[Genbank Assembly Accession ID]],[1]data_genome_mock_composition!$E:$R,14,FALSE)</f>
        <v>79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8" ht="16.399999999999999" customHeight="1" x14ac:dyDescent="0.3">
      <c r="A21" s="12" t="s">
        <v>59</v>
      </c>
      <c r="B21" s="12" t="s">
        <v>153</v>
      </c>
      <c r="C21" s="12" t="s">
        <v>315</v>
      </c>
      <c r="D21" s="12" t="s">
        <v>203</v>
      </c>
      <c r="E21" s="12" t="s">
        <v>27</v>
      </c>
      <c r="F21" s="12" t="s">
        <v>271</v>
      </c>
      <c r="G21" s="12" t="s">
        <v>270</v>
      </c>
      <c r="H21" s="13" t="s">
        <v>441</v>
      </c>
      <c r="I21" s="13">
        <v>1</v>
      </c>
      <c r="J21" s="13">
        <v>0</v>
      </c>
      <c r="K21" s="13" t="s">
        <v>255</v>
      </c>
      <c r="L21" s="13"/>
      <c r="M21" s="13" t="s">
        <v>374</v>
      </c>
      <c r="N21" s="13">
        <v>1</v>
      </c>
      <c r="O21" s="20">
        <v>5.6834294951089621</v>
      </c>
      <c r="P21" s="20">
        <v>5.6030755043601799</v>
      </c>
      <c r="Q21" s="20">
        <v>2.7988548305193994</v>
      </c>
      <c r="R21" s="22">
        <f>VLOOKUP(Tableau1[[#This Row],[Genbank Assembly Accession ID]],[1]data_genome_mock_composition!$E:$R,14,FALSE)</f>
        <v>80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8" ht="16.399999999999999" customHeight="1" x14ac:dyDescent="0.3">
      <c r="A22" s="12" t="s">
        <v>568</v>
      </c>
      <c r="B22" s="12" t="s">
        <v>198</v>
      </c>
      <c r="C22" s="12" t="s">
        <v>287</v>
      </c>
      <c r="D22" s="12" t="s">
        <v>213</v>
      </c>
      <c r="E22" s="12" t="s">
        <v>27</v>
      </c>
      <c r="F22" s="12" t="s">
        <v>270</v>
      </c>
      <c r="G22" s="12" t="s">
        <v>270</v>
      </c>
      <c r="H22" s="13" t="s">
        <v>442</v>
      </c>
      <c r="I22" s="13">
        <v>1</v>
      </c>
      <c r="J22" s="13">
        <v>0</v>
      </c>
      <c r="K22" s="13" t="s">
        <v>255</v>
      </c>
      <c r="L22" s="13"/>
      <c r="M22" s="13">
        <v>60</v>
      </c>
      <c r="N22" s="13">
        <v>6</v>
      </c>
      <c r="O22" s="20">
        <v>1.069308679608532</v>
      </c>
      <c r="P22" s="20">
        <v>1.0541904803200917</v>
      </c>
      <c r="Q22" s="20">
        <v>0.35106030796068177</v>
      </c>
      <c r="R22" s="22">
        <f>VLOOKUP(Tableau1[[#This Row],[Genbank Assembly Accession ID]],[1]data_genome_mock_composition!$E:$R,14,FALSE)</f>
        <v>90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8" ht="16.399999999999999" customHeight="1" x14ac:dyDescent="0.3">
      <c r="A23" s="12" t="s">
        <v>569</v>
      </c>
      <c r="B23" s="12" t="s">
        <v>205</v>
      </c>
      <c r="C23" s="12" t="s">
        <v>570</v>
      </c>
      <c r="D23" s="12" t="s">
        <v>204</v>
      </c>
      <c r="E23" s="12" t="s">
        <v>27</v>
      </c>
      <c r="F23" s="12" t="s">
        <v>40</v>
      </c>
      <c r="G23" s="12" t="s">
        <v>40</v>
      </c>
      <c r="H23" s="13" t="s">
        <v>443</v>
      </c>
      <c r="I23" s="13">
        <v>7</v>
      </c>
      <c r="J23" s="13">
        <v>0</v>
      </c>
      <c r="K23" s="13" t="s">
        <v>255</v>
      </c>
      <c r="L23" s="13" t="s">
        <v>257</v>
      </c>
      <c r="M23" s="13" t="s">
        <v>375</v>
      </c>
      <c r="N23" s="13">
        <v>4</v>
      </c>
      <c r="O23" s="20">
        <v>1.3714630261137666</v>
      </c>
      <c r="P23" s="20">
        <v>1.3520728801803152</v>
      </c>
      <c r="Q23" s="20">
        <v>2.0261670803626339</v>
      </c>
      <c r="R23" s="22">
        <f>VLOOKUP(Tableau1[[#This Row],[Genbank Assembly Accession ID]],[1]data_genome_mock_composition!$E:$R,14,FALSE)</f>
        <v>46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8" ht="16.399999999999999" customHeight="1" x14ac:dyDescent="0.3">
      <c r="A24" s="12" t="s">
        <v>53</v>
      </c>
      <c r="B24" s="12" t="s">
        <v>136</v>
      </c>
      <c r="C24" s="12" t="s">
        <v>311</v>
      </c>
      <c r="D24" s="12" t="s">
        <v>137</v>
      </c>
      <c r="E24" s="12" t="s">
        <v>27</v>
      </c>
      <c r="F24" s="12" t="s">
        <v>54</v>
      </c>
      <c r="G24" s="12" t="s">
        <v>526</v>
      </c>
      <c r="H24" s="13" t="s">
        <v>444</v>
      </c>
      <c r="I24" s="13">
        <v>1</v>
      </c>
      <c r="J24" s="13">
        <v>0</v>
      </c>
      <c r="K24" s="13" t="s">
        <v>255</v>
      </c>
      <c r="L24" s="13"/>
      <c r="M24" s="13" t="s">
        <v>376</v>
      </c>
      <c r="N24" s="13">
        <v>1</v>
      </c>
      <c r="O24" s="20">
        <v>2.4149012484171841</v>
      </c>
      <c r="P24" s="20">
        <v>2.38075866729754</v>
      </c>
      <c r="Q24" s="20">
        <v>2.378478709088018</v>
      </c>
      <c r="R24" s="22">
        <f>VLOOKUP(Tableau1[[#This Row],[Genbank Assembly Accession ID]],[1]data_genome_mock_composition!$E:$R,14,FALSE)</f>
        <v>56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8" ht="16.399999999999999" customHeight="1" x14ac:dyDescent="0.3">
      <c r="A25" s="12" t="s">
        <v>571</v>
      </c>
      <c r="B25" s="12" t="s">
        <v>91</v>
      </c>
      <c r="C25" s="12" t="s">
        <v>329</v>
      </c>
      <c r="D25" s="12" t="s">
        <v>92</v>
      </c>
      <c r="E25" s="12" t="s">
        <v>27</v>
      </c>
      <c r="F25" s="12" t="s">
        <v>29</v>
      </c>
      <c r="G25" s="12" t="s">
        <v>527</v>
      </c>
      <c r="H25" s="13" t="s">
        <v>445</v>
      </c>
      <c r="I25" s="13">
        <v>1</v>
      </c>
      <c r="J25" s="13">
        <v>1</v>
      </c>
      <c r="K25" s="13" t="s">
        <v>255</v>
      </c>
      <c r="L25" s="13"/>
      <c r="M25" s="13" t="s">
        <v>377</v>
      </c>
      <c r="N25" s="13">
        <v>5</v>
      </c>
      <c r="O25" s="20" t="s">
        <v>6</v>
      </c>
      <c r="P25" s="20">
        <v>9.603725715451937E-2</v>
      </c>
      <c r="Q25" s="20" t="s">
        <v>6</v>
      </c>
      <c r="R25" s="22">
        <f>VLOOKUP(Tableau1[[#This Row],[Genbank Assembly Accession ID]],[1]data_genome_mock_composition!$E:$R,14,FALSE)</f>
        <v>55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8" ht="16.399999999999999" customHeight="1" x14ac:dyDescent="0.3">
      <c r="A26" s="12" t="s">
        <v>33</v>
      </c>
      <c r="B26" s="12" t="s">
        <v>155</v>
      </c>
      <c r="C26" s="12" t="s">
        <v>317</v>
      </c>
      <c r="D26" s="12" t="s">
        <v>209</v>
      </c>
      <c r="E26" s="12" t="s">
        <v>27</v>
      </c>
      <c r="F26" s="12" t="s">
        <v>32</v>
      </c>
      <c r="G26" s="12" t="s">
        <v>517</v>
      </c>
      <c r="H26" s="13" t="s">
        <v>446</v>
      </c>
      <c r="I26" s="13">
        <v>1</v>
      </c>
      <c r="J26" s="13">
        <v>0</v>
      </c>
      <c r="K26" s="13" t="s">
        <v>255</v>
      </c>
      <c r="L26" s="13"/>
      <c r="M26" s="13" t="s">
        <v>378</v>
      </c>
      <c r="N26" s="13">
        <v>4</v>
      </c>
      <c r="O26" s="20">
        <v>2.1700669467348193</v>
      </c>
      <c r="P26" s="20">
        <v>2.2277198391710948</v>
      </c>
      <c r="Q26" s="20">
        <v>4.2746741991933792</v>
      </c>
      <c r="R26" s="22">
        <f>VLOOKUP(Tableau1[[#This Row],[Genbank Assembly Accession ID]],[1]data_genome_mock_composition!$E:$R,14,FALSE)</f>
        <v>58</v>
      </c>
      <c r="AE26" s="5"/>
      <c r="AF26" s="5"/>
      <c r="AG26" s="5"/>
      <c r="AH26" s="5"/>
      <c r="AI26" s="5"/>
    </row>
    <row r="27" spans="1:38" ht="16.399999999999999" customHeight="1" x14ac:dyDescent="0.3">
      <c r="A27" s="12" t="s">
        <v>31</v>
      </c>
      <c r="B27" s="12" t="s">
        <v>87</v>
      </c>
      <c r="C27" s="12" t="s">
        <v>303</v>
      </c>
      <c r="D27" s="12" t="s">
        <v>88</v>
      </c>
      <c r="E27" s="12" t="s">
        <v>27</v>
      </c>
      <c r="F27" s="12" t="s">
        <v>32</v>
      </c>
      <c r="G27" s="12" t="s">
        <v>517</v>
      </c>
      <c r="H27" s="13" t="s">
        <v>447</v>
      </c>
      <c r="I27" s="13">
        <v>2</v>
      </c>
      <c r="J27" s="13">
        <v>0</v>
      </c>
      <c r="K27" s="13" t="s">
        <v>255</v>
      </c>
      <c r="L27" s="13" t="s">
        <v>260</v>
      </c>
      <c r="M27" s="13" t="s">
        <v>379</v>
      </c>
      <c r="N27" s="13">
        <v>5</v>
      </c>
      <c r="O27" s="20">
        <v>0.32350981446709626</v>
      </c>
      <c r="P27" s="20">
        <v>0.31893593796151093</v>
      </c>
      <c r="Q27" s="20">
        <v>0.19914406603461962</v>
      </c>
      <c r="R27" s="22">
        <f>VLOOKUP(Tableau1[[#This Row],[Genbank Assembly Accession ID]],[1]data_genome_mock_composition!$E:$R,14,FALSE)</f>
        <v>59</v>
      </c>
      <c r="AJ27" s="7"/>
      <c r="AK27" s="7"/>
      <c r="AL27" s="7"/>
    </row>
    <row r="28" spans="1:38" ht="16.399999999999999" customHeight="1" x14ac:dyDescent="0.3">
      <c r="A28" s="12" t="s">
        <v>17</v>
      </c>
      <c r="B28" s="12" t="s">
        <v>159</v>
      </c>
      <c r="C28" s="12" t="s">
        <v>321</v>
      </c>
      <c r="D28" s="12" t="s">
        <v>223</v>
      </c>
      <c r="E28" s="12" t="s">
        <v>5</v>
      </c>
      <c r="F28" s="12" t="s">
        <v>355</v>
      </c>
      <c r="G28" s="12" t="s">
        <v>520</v>
      </c>
      <c r="H28" s="13" t="s">
        <v>448</v>
      </c>
      <c r="I28" s="13">
        <v>1</v>
      </c>
      <c r="J28" s="13">
        <v>0</v>
      </c>
      <c r="K28" s="13" t="s">
        <v>255</v>
      </c>
      <c r="L28" s="13"/>
      <c r="M28" s="13" t="s">
        <v>380</v>
      </c>
      <c r="N28" s="13">
        <v>1</v>
      </c>
      <c r="O28" s="20">
        <v>5.8555183375744742</v>
      </c>
      <c r="P28" s="20">
        <v>5.7727313043700166</v>
      </c>
      <c r="Q28" s="20">
        <v>7.209003735517018</v>
      </c>
      <c r="R28" s="22">
        <f>VLOOKUP(Tableau1[[#This Row],[Genbank Assembly Accession ID]],[1]data_genome_mock_composition!$E:$R,14,FALSE)</f>
        <v>10</v>
      </c>
      <c r="AJ28" s="7"/>
      <c r="AK28" s="7"/>
      <c r="AL28" s="7"/>
    </row>
    <row r="29" spans="1:38" ht="16.399999999999999" customHeight="1" x14ac:dyDescent="0.3">
      <c r="A29" s="12" t="s">
        <v>547</v>
      </c>
      <c r="B29" s="12" t="s">
        <v>240</v>
      </c>
      <c r="C29" s="12" t="s">
        <v>548</v>
      </c>
      <c r="D29" s="12" t="s">
        <v>241</v>
      </c>
      <c r="E29" s="12" t="s">
        <v>5</v>
      </c>
      <c r="F29" s="12" t="s">
        <v>19</v>
      </c>
      <c r="G29" s="12" t="s">
        <v>519</v>
      </c>
      <c r="H29" s="13" t="s">
        <v>449</v>
      </c>
      <c r="I29" s="13">
        <v>1</v>
      </c>
      <c r="J29" s="13">
        <v>0</v>
      </c>
      <c r="K29" s="13" t="s">
        <v>255</v>
      </c>
      <c r="L29" s="13"/>
      <c r="M29" s="13" t="s">
        <v>381</v>
      </c>
      <c r="N29" s="13">
        <v>1</v>
      </c>
      <c r="O29" s="20">
        <v>7.5406063924986846E-2</v>
      </c>
      <c r="P29" s="20">
        <v>7.4339950908498306E-2</v>
      </c>
      <c r="Q29" s="20">
        <v>7.4268758484126438E-2</v>
      </c>
      <c r="R29" s="22">
        <f>VLOOKUP(Tableau1[[#This Row],[Genbank Assembly Accession ID]],[1]data_genome_mock_composition!$E:$R,14,FALSE)</f>
        <v>5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8" ht="16.399999999999999" customHeight="1" x14ac:dyDescent="0.3">
      <c r="A30" s="12" t="s">
        <v>572</v>
      </c>
      <c r="B30" s="12" t="s">
        <v>145</v>
      </c>
      <c r="C30" s="12" t="s">
        <v>283</v>
      </c>
      <c r="D30" s="12" t="s">
        <v>187</v>
      </c>
      <c r="E30" s="12" t="s">
        <v>5</v>
      </c>
      <c r="F30" s="12" t="s">
        <v>355</v>
      </c>
      <c r="G30" s="12" t="s">
        <v>518</v>
      </c>
      <c r="H30" s="13" t="s">
        <v>450</v>
      </c>
      <c r="I30" s="13">
        <v>1</v>
      </c>
      <c r="J30" s="13">
        <v>0</v>
      </c>
      <c r="K30" s="13" t="s">
        <v>255</v>
      </c>
      <c r="L30" s="13"/>
      <c r="M30" s="13" t="s">
        <v>382</v>
      </c>
      <c r="N30" s="13">
        <v>3</v>
      </c>
      <c r="O30" s="20">
        <v>0.45961592475076873</v>
      </c>
      <c r="P30" s="20">
        <v>0.45311774019561601</v>
      </c>
      <c r="Q30" s="20">
        <v>0.30178920486404121</v>
      </c>
      <c r="R30" s="22">
        <f>VLOOKUP(Tableau1[[#This Row],[Genbank Assembly Accession ID]],[1]data_genome_mock_composition!$E:$R,14,FALSE)</f>
        <v>16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8" ht="16.399999999999999" customHeight="1" x14ac:dyDescent="0.3">
      <c r="A31" s="12" t="s">
        <v>57</v>
      </c>
      <c r="B31" s="12" t="s">
        <v>161</v>
      </c>
      <c r="C31" s="12" t="s">
        <v>323</v>
      </c>
      <c r="D31" s="12" t="s">
        <v>226</v>
      </c>
      <c r="E31" s="12" t="s">
        <v>27</v>
      </c>
      <c r="F31" s="12" t="s">
        <v>274</v>
      </c>
      <c r="G31" s="12" t="s">
        <v>274</v>
      </c>
      <c r="H31" s="13" t="s">
        <v>451</v>
      </c>
      <c r="I31" s="13">
        <v>2</v>
      </c>
      <c r="J31" s="13">
        <v>0</v>
      </c>
      <c r="K31" s="13" t="s">
        <v>255</v>
      </c>
      <c r="L31" s="13" t="s">
        <v>264</v>
      </c>
      <c r="M31" s="13" t="s">
        <v>383</v>
      </c>
      <c r="N31" s="13">
        <v>3</v>
      </c>
      <c r="O31" s="20">
        <v>6.6534762286753105E-2</v>
      </c>
      <c r="P31" s="20">
        <v>6.559407433102793E-2</v>
      </c>
      <c r="Q31" s="20" t="s">
        <v>6</v>
      </c>
      <c r="R31" s="22">
        <f>VLOOKUP(Tableau1[[#This Row],[Genbank Assembly Accession ID]],[1]data_genome_mock_composition!$E:$R,14,FALSE)</f>
        <v>78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8" ht="16.399999999999999" customHeight="1" x14ac:dyDescent="0.3">
      <c r="A32" s="12" t="s">
        <v>597</v>
      </c>
      <c r="B32" s="12" t="s">
        <v>89</v>
      </c>
      <c r="C32" s="12" t="s">
        <v>598</v>
      </c>
      <c r="D32" s="12" t="s">
        <v>90</v>
      </c>
      <c r="E32" s="12" t="s">
        <v>27</v>
      </c>
      <c r="F32" s="12" t="s">
        <v>32</v>
      </c>
      <c r="G32" s="12" t="s">
        <v>517</v>
      </c>
      <c r="H32" s="13" t="s">
        <v>452</v>
      </c>
      <c r="I32" s="13">
        <v>1</v>
      </c>
      <c r="J32" s="13">
        <v>0</v>
      </c>
      <c r="K32" s="13" t="s">
        <v>255</v>
      </c>
      <c r="L32" s="13"/>
      <c r="M32" s="13" t="s">
        <v>384</v>
      </c>
      <c r="N32" s="13">
        <v>7</v>
      </c>
      <c r="O32" s="20">
        <v>0.46924417538572621</v>
      </c>
      <c r="P32" s="20">
        <v>0.50066002576104029</v>
      </c>
      <c r="Q32" s="20">
        <v>1.3865005220193225</v>
      </c>
      <c r="R32" s="22">
        <f>VLOOKUP(Tableau1[[#This Row],[Genbank Assembly Accession ID]],[1]data_genome_mock_composition!$E:$R,14,FALSE)</f>
        <v>60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8" ht="16.399999999999999" customHeight="1" x14ac:dyDescent="0.3">
      <c r="A33" s="12" t="s">
        <v>573</v>
      </c>
      <c r="B33" s="12" t="s">
        <v>234</v>
      </c>
      <c r="C33" s="12" t="s">
        <v>293</v>
      </c>
      <c r="D33" s="12" t="s">
        <v>233</v>
      </c>
      <c r="E33" s="12" t="s">
        <v>27</v>
      </c>
      <c r="F33" s="12" t="s">
        <v>43</v>
      </c>
      <c r="G33" s="12" t="s">
        <v>43</v>
      </c>
      <c r="H33" s="13" t="s">
        <v>453</v>
      </c>
      <c r="I33" s="13">
        <v>4</v>
      </c>
      <c r="J33" s="13">
        <v>0</v>
      </c>
      <c r="K33" s="13" t="s">
        <v>255</v>
      </c>
      <c r="L33" s="13" t="s">
        <v>258</v>
      </c>
      <c r="M33" s="13" t="s">
        <v>385</v>
      </c>
      <c r="N33" s="13">
        <v>5</v>
      </c>
      <c r="O33" s="20" t="s">
        <v>6</v>
      </c>
      <c r="P33" s="20">
        <v>6.9213057742394987E-2</v>
      </c>
      <c r="Q33" s="20" t="s">
        <v>6</v>
      </c>
      <c r="R33" s="22">
        <f>VLOOKUP(Tableau1[[#This Row],[Genbank Assembly Accession ID]],[1]data_genome_mock_composition!$E:$R,14,FALSE)</f>
        <v>39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8" ht="16.399999999999999" customHeight="1" x14ac:dyDescent="0.3">
      <c r="A34" s="12" t="s">
        <v>574</v>
      </c>
      <c r="B34" s="12" t="s">
        <v>95</v>
      </c>
      <c r="C34" s="12" t="s">
        <v>285</v>
      </c>
      <c r="D34" s="12" t="s">
        <v>96</v>
      </c>
      <c r="E34" s="12" t="s">
        <v>27</v>
      </c>
      <c r="F34" s="12" t="s">
        <v>271</v>
      </c>
      <c r="G34" s="12" t="s">
        <v>270</v>
      </c>
      <c r="H34" s="13" t="s">
        <v>454</v>
      </c>
      <c r="I34" s="13">
        <v>3</v>
      </c>
      <c r="J34" s="13">
        <v>0</v>
      </c>
      <c r="K34" s="13" t="s">
        <v>255</v>
      </c>
      <c r="L34" s="13" t="s">
        <v>265</v>
      </c>
      <c r="M34" s="13" t="s">
        <v>386</v>
      </c>
      <c r="N34" s="13">
        <v>6</v>
      </c>
      <c r="O34" s="20">
        <v>0.57511327297877535</v>
      </c>
      <c r="P34" s="20">
        <v>0.56698215308783495</v>
      </c>
      <c r="Q34" s="20">
        <v>0.28321958837664929</v>
      </c>
      <c r="R34" s="22">
        <f>VLOOKUP(Tableau1[[#This Row],[Genbank Assembly Accession ID]],[1]data_genome_mock_composition!$E:$R,14,FALSE)</f>
        <v>81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8" ht="16.399999999999999" customHeight="1" x14ac:dyDescent="0.3">
      <c r="A35" s="12" t="s">
        <v>49</v>
      </c>
      <c r="B35" s="12" t="s">
        <v>179</v>
      </c>
      <c r="C35" s="12" t="s">
        <v>341</v>
      </c>
      <c r="D35" s="12" t="s">
        <v>178</v>
      </c>
      <c r="E35" s="12" t="s">
        <v>27</v>
      </c>
      <c r="F35" s="12" t="s">
        <v>43</v>
      </c>
      <c r="G35" s="12" t="s">
        <v>43</v>
      </c>
      <c r="H35" s="13" t="s">
        <v>455</v>
      </c>
      <c r="I35" s="13">
        <v>1</v>
      </c>
      <c r="J35" s="13">
        <v>0</v>
      </c>
      <c r="K35" s="13" t="s">
        <v>255</v>
      </c>
      <c r="L35" s="13"/>
      <c r="M35" s="13" t="s">
        <v>387</v>
      </c>
      <c r="N35" s="13">
        <v>6</v>
      </c>
      <c r="O35" s="20" t="s">
        <v>6</v>
      </c>
      <c r="P35" s="20">
        <v>0.10619992986928331</v>
      </c>
      <c r="Q35" s="20" t="s">
        <v>6</v>
      </c>
      <c r="R35" s="22">
        <f>VLOOKUP(Tableau1[[#This Row],[Genbank Assembly Accession ID]],[1]data_genome_mock_composition!$E:$R,14,FALSE)</f>
        <v>41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8" ht="16.399999999999999" customHeight="1" x14ac:dyDescent="0.3">
      <c r="A36" s="12" t="s">
        <v>36</v>
      </c>
      <c r="B36" s="12" t="s">
        <v>102</v>
      </c>
      <c r="C36" s="12" t="s">
        <v>306</v>
      </c>
      <c r="D36" s="12" t="s">
        <v>107</v>
      </c>
      <c r="E36" s="12" t="s">
        <v>27</v>
      </c>
      <c r="F36" s="12" t="s">
        <v>35</v>
      </c>
      <c r="G36" s="12" t="s">
        <v>517</v>
      </c>
      <c r="H36" s="13" t="s">
        <v>456</v>
      </c>
      <c r="I36" s="13">
        <v>1</v>
      </c>
      <c r="J36" s="13">
        <v>0</v>
      </c>
      <c r="K36" s="13" t="s">
        <v>255</v>
      </c>
      <c r="L36" s="13"/>
      <c r="M36" s="13" t="s">
        <v>378</v>
      </c>
      <c r="N36" s="13">
        <v>2</v>
      </c>
      <c r="O36" s="20">
        <v>0.69026180122150038</v>
      </c>
      <c r="P36" s="20">
        <v>0.6805026777138854</v>
      </c>
      <c r="Q36" s="20">
        <v>0.67985098727252846</v>
      </c>
      <c r="R36" s="22">
        <f>VLOOKUP(Tableau1[[#This Row],[Genbank Assembly Accession ID]],[1]data_genome_mock_composition!$E:$R,14,FALSE)</f>
        <v>63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8" ht="16.399999999999999" customHeight="1" x14ac:dyDescent="0.3">
      <c r="A37" s="12" t="s">
        <v>575</v>
      </c>
      <c r="B37" s="12" t="s">
        <v>80</v>
      </c>
      <c r="C37" s="12" t="s">
        <v>327</v>
      </c>
      <c r="D37" s="12" t="s">
        <v>79</v>
      </c>
      <c r="E37" s="12" t="s">
        <v>27</v>
      </c>
      <c r="F37" s="12" t="s">
        <v>270</v>
      </c>
      <c r="G37" s="12" t="s">
        <v>270</v>
      </c>
      <c r="H37" s="13" t="s">
        <v>457</v>
      </c>
      <c r="I37" s="13">
        <v>3</v>
      </c>
      <c r="J37" s="13">
        <v>1</v>
      </c>
      <c r="K37" s="13" t="s">
        <v>255</v>
      </c>
      <c r="L37" s="13" t="s">
        <v>256</v>
      </c>
      <c r="M37" s="13">
        <v>39</v>
      </c>
      <c r="N37" s="13">
        <v>6</v>
      </c>
      <c r="O37" s="20" t="s">
        <v>6</v>
      </c>
      <c r="P37" s="20">
        <v>4.6248356555978219E-2</v>
      </c>
      <c r="Q37" s="20" t="s">
        <v>6</v>
      </c>
      <c r="R37" s="22">
        <f>VLOOKUP(Tableau1[[#This Row],[Genbank Assembly Accession ID]],[1]data_genome_mock_composition!$E:$R,14,FALSE)</f>
        <v>88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8" ht="16.399999999999999" customHeight="1" x14ac:dyDescent="0.3">
      <c r="A38" s="12" t="s">
        <v>23</v>
      </c>
      <c r="B38" s="12" t="s">
        <v>157</v>
      </c>
      <c r="C38" s="12" t="s">
        <v>319</v>
      </c>
      <c r="D38" s="12" t="s">
        <v>221</v>
      </c>
      <c r="E38" s="12" t="s">
        <v>5</v>
      </c>
      <c r="F38" s="12" t="s">
        <v>19</v>
      </c>
      <c r="G38" s="12" t="s">
        <v>519</v>
      </c>
      <c r="H38" s="13">
        <v>2</v>
      </c>
      <c r="I38" s="13">
        <v>1</v>
      </c>
      <c r="J38" s="13">
        <v>0</v>
      </c>
      <c r="K38" s="13" t="s">
        <v>255</v>
      </c>
      <c r="L38" s="13"/>
      <c r="M38" s="13" t="s">
        <v>388</v>
      </c>
      <c r="N38" s="13">
        <v>1</v>
      </c>
      <c r="O38" s="20">
        <v>2.5449546574683057</v>
      </c>
      <c r="P38" s="20">
        <v>2.5089733431618182</v>
      </c>
      <c r="Q38" s="20">
        <v>0.50131411976785345</v>
      </c>
      <c r="R38" s="22">
        <f>VLOOKUP(Tableau1[[#This Row],[Genbank Assembly Accession ID]],[1]data_genome_mock_composition!$E:$R,14,FALSE)</f>
        <v>2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8" ht="16.399999999999999" customHeight="1" x14ac:dyDescent="0.3">
      <c r="A39" s="12" t="s">
        <v>113</v>
      </c>
      <c r="B39" s="12" t="s">
        <v>114</v>
      </c>
      <c r="C39" s="12" t="s">
        <v>324</v>
      </c>
      <c r="D39" s="12" t="s">
        <v>115</v>
      </c>
      <c r="E39" s="12" t="s">
        <v>27</v>
      </c>
      <c r="F39" s="12" t="s">
        <v>43</v>
      </c>
      <c r="G39" s="12" t="s">
        <v>528</v>
      </c>
      <c r="H39" s="13" t="s">
        <v>458</v>
      </c>
      <c r="I39" s="13">
        <v>1</v>
      </c>
      <c r="J39" s="13">
        <v>0</v>
      </c>
      <c r="K39" s="13" t="s">
        <v>255</v>
      </c>
      <c r="L39" s="13"/>
      <c r="M39" s="13">
        <v>39</v>
      </c>
      <c r="N39" s="13">
        <v>4</v>
      </c>
      <c r="O39" s="20">
        <v>0.26884489655559862</v>
      </c>
      <c r="P39" s="20">
        <v>0.26504388866955436</v>
      </c>
      <c r="Q39" s="20">
        <v>0.15913491689870196</v>
      </c>
      <c r="R39" s="22">
        <f>VLOOKUP(Tableau1[[#This Row],[Genbank Assembly Accession ID]],[1]data_genome_mock_composition!$E:$R,14,FALSE)</f>
        <v>35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8" ht="16.399999999999999" customHeight="1" x14ac:dyDescent="0.3">
      <c r="A40" s="12" t="s">
        <v>576</v>
      </c>
      <c r="B40" s="12" t="s">
        <v>214</v>
      </c>
      <c r="C40" s="12" t="s">
        <v>549</v>
      </c>
      <c r="D40" s="12" t="s">
        <v>224</v>
      </c>
      <c r="E40" s="12" t="s">
        <v>27</v>
      </c>
      <c r="F40" s="12" t="s">
        <v>274</v>
      </c>
      <c r="G40" s="12" t="s">
        <v>274</v>
      </c>
      <c r="H40" s="13" t="s">
        <v>459</v>
      </c>
      <c r="I40" s="13">
        <v>3</v>
      </c>
      <c r="J40" s="13">
        <v>0</v>
      </c>
      <c r="K40" s="13" t="s">
        <v>255</v>
      </c>
      <c r="L40" s="13" t="s">
        <v>266</v>
      </c>
      <c r="M40" s="13">
        <v>69</v>
      </c>
      <c r="N40" s="13">
        <v>4</v>
      </c>
      <c r="O40" s="20" t="s">
        <v>6</v>
      </c>
      <c r="P40" s="20">
        <v>4.4703311236736182E-2</v>
      </c>
      <c r="Q40" s="20" t="s">
        <v>6</v>
      </c>
      <c r="R40" s="22">
        <f>VLOOKUP(Tableau1[[#This Row],[Genbank Assembly Accession ID]],[1]data_genome_mock_composition!$E:$R,14,FALSE)</f>
        <v>77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8" ht="16.399999999999999" customHeight="1" x14ac:dyDescent="0.3">
      <c r="A41" s="12" t="s">
        <v>577</v>
      </c>
      <c r="B41" s="12" t="s">
        <v>231</v>
      </c>
      <c r="C41" s="12" t="s">
        <v>292</v>
      </c>
      <c r="D41" s="12" t="s">
        <v>232</v>
      </c>
      <c r="E41" s="12" t="s">
        <v>27</v>
      </c>
      <c r="F41" s="12" t="s">
        <v>270</v>
      </c>
      <c r="G41" s="12" t="s">
        <v>270</v>
      </c>
      <c r="H41" s="13" t="s">
        <v>460</v>
      </c>
      <c r="I41" s="13">
        <v>1</v>
      </c>
      <c r="J41" s="13">
        <v>0</v>
      </c>
      <c r="K41" s="13" t="s">
        <v>255</v>
      </c>
      <c r="L41" s="13"/>
      <c r="M41" s="13" t="s">
        <v>389</v>
      </c>
      <c r="N41" s="13">
        <v>8</v>
      </c>
      <c r="O41" s="20">
        <v>0.55325101249311004</v>
      </c>
      <c r="P41" s="20">
        <v>0.5454289876438736</v>
      </c>
      <c r="Q41" s="20">
        <v>0.76286931269021185</v>
      </c>
      <c r="R41" s="22">
        <f>VLOOKUP(Tableau1[[#This Row],[Genbank Assembly Accession ID]],[1]data_genome_mock_composition!$E:$R,14,FALSE)</f>
        <v>85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8" ht="16.399999999999999" customHeight="1" x14ac:dyDescent="0.3">
      <c r="A42" s="12" t="s">
        <v>37</v>
      </c>
      <c r="B42" s="12" t="s">
        <v>103</v>
      </c>
      <c r="C42" s="12" t="s">
        <v>307</v>
      </c>
      <c r="D42" s="12" t="s">
        <v>108</v>
      </c>
      <c r="E42" s="12" t="s">
        <v>27</v>
      </c>
      <c r="F42" s="12" t="s">
        <v>35</v>
      </c>
      <c r="G42" s="12" t="s">
        <v>517</v>
      </c>
      <c r="H42" s="13" t="s">
        <v>461</v>
      </c>
      <c r="I42" s="13">
        <v>1</v>
      </c>
      <c r="J42" s="13">
        <v>0</v>
      </c>
      <c r="K42" s="13" t="s">
        <v>255</v>
      </c>
      <c r="L42" s="13"/>
      <c r="M42" s="13">
        <v>53</v>
      </c>
      <c r="N42" s="13">
        <v>1</v>
      </c>
      <c r="O42" s="20">
        <v>1.2939175424119185</v>
      </c>
      <c r="P42" s="20">
        <v>1.2756237572383484</v>
      </c>
      <c r="Q42" s="20">
        <v>1.9116032143919244</v>
      </c>
      <c r="R42" s="22">
        <f>VLOOKUP(Tableau1[[#This Row],[Genbank Assembly Accession ID]],[1]data_genome_mock_composition!$E:$R,14,FALSE)</f>
        <v>65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8" ht="15.65" customHeight="1" x14ac:dyDescent="0.3">
      <c r="A43" s="12" t="s">
        <v>578</v>
      </c>
      <c r="B43" s="12" t="s">
        <v>144</v>
      </c>
      <c r="C43" s="12" t="s">
        <v>282</v>
      </c>
      <c r="D43" s="12" t="s">
        <v>184</v>
      </c>
      <c r="E43" s="12" t="s">
        <v>5</v>
      </c>
      <c r="F43" s="12" t="s">
        <v>355</v>
      </c>
      <c r="G43" s="12" t="s">
        <v>518</v>
      </c>
      <c r="H43" s="13" t="s">
        <v>462</v>
      </c>
      <c r="I43" s="13">
        <v>2</v>
      </c>
      <c r="J43" s="13">
        <v>0</v>
      </c>
      <c r="K43" s="13" t="s">
        <v>255</v>
      </c>
      <c r="L43" s="13" t="s">
        <v>260</v>
      </c>
      <c r="M43" s="13">
        <v>33</v>
      </c>
      <c r="N43" s="13">
        <v>3</v>
      </c>
      <c r="O43" s="20">
        <v>1.1540467948482063</v>
      </c>
      <c r="P43" s="20">
        <v>1.1377305432686453</v>
      </c>
      <c r="Q43" s="20">
        <v>1.1366409838235907</v>
      </c>
      <c r="R43" s="22">
        <f>VLOOKUP(Tableau1[[#This Row],[Genbank Assembly Accession ID]],[1]data_genome_mock_composition!$E:$R,14,FALSE)</f>
        <v>15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8" ht="16.399999999999999" customHeight="1" x14ac:dyDescent="0.3">
      <c r="A44" s="12" t="s">
        <v>22</v>
      </c>
      <c r="B44" s="12" t="s">
        <v>156</v>
      </c>
      <c r="C44" s="12" t="s">
        <v>318</v>
      </c>
      <c r="D44" s="12" t="s">
        <v>220</v>
      </c>
      <c r="E44" s="12" t="s">
        <v>5</v>
      </c>
      <c r="F44" s="12" t="s">
        <v>19</v>
      </c>
      <c r="G44" s="12" t="s">
        <v>519</v>
      </c>
      <c r="H44" s="13" t="s">
        <v>463</v>
      </c>
      <c r="I44" s="13">
        <v>1</v>
      </c>
      <c r="J44" s="13">
        <v>0</v>
      </c>
      <c r="K44" s="13" t="s">
        <v>255</v>
      </c>
      <c r="L44" s="13"/>
      <c r="M44" s="13" t="s">
        <v>390</v>
      </c>
      <c r="N44" s="13">
        <v>1</v>
      </c>
      <c r="O44" s="20">
        <v>4.7993562854174394E-2</v>
      </c>
      <c r="P44" s="20">
        <v>4.7315015806321643E-2</v>
      </c>
      <c r="Q44" s="20" t="s">
        <v>6</v>
      </c>
      <c r="R44" s="22">
        <f>VLOOKUP(Tableau1[[#This Row],[Genbank Assembly Accession ID]],[1]data_genome_mock_composition!$E:$R,14,FALSE)</f>
        <v>4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8" ht="16.399999999999999" customHeight="1" x14ac:dyDescent="0.3">
      <c r="A45" s="12" t="s">
        <v>551</v>
      </c>
      <c r="B45" s="12" t="s">
        <v>163</v>
      </c>
      <c r="C45" s="12" t="s">
        <v>550</v>
      </c>
      <c r="D45" s="12" t="s">
        <v>228</v>
      </c>
      <c r="E45" s="12" t="s">
        <v>27</v>
      </c>
      <c r="F45" s="12" t="s">
        <v>29</v>
      </c>
      <c r="G45" s="12" t="s">
        <v>527</v>
      </c>
      <c r="H45" s="13" t="s">
        <v>464</v>
      </c>
      <c r="I45" s="13">
        <v>1</v>
      </c>
      <c r="J45" s="13">
        <v>0</v>
      </c>
      <c r="K45" s="13" t="s">
        <v>255</v>
      </c>
      <c r="L45" s="13"/>
      <c r="M45" s="13" t="s">
        <v>391</v>
      </c>
      <c r="N45" s="13">
        <v>3</v>
      </c>
      <c r="O45" s="20">
        <v>0.49099119431024757</v>
      </c>
      <c r="P45" s="20">
        <v>0.48404941700496168</v>
      </c>
      <c r="Q45" s="20">
        <v>0.38686868965165316</v>
      </c>
      <c r="R45" s="22">
        <f>VLOOKUP(Tableau1[[#This Row],[Genbank Assembly Accession ID]],[1]data_genome_mock_composition!$E:$R,14,FALSE)</f>
        <v>52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8" ht="16.399999999999999" customHeight="1" x14ac:dyDescent="0.3">
      <c r="A46" s="12" t="s">
        <v>45</v>
      </c>
      <c r="B46" s="12" t="s">
        <v>99</v>
      </c>
      <c r="C46" s="12" t="s">
        <v>304</v>
      </c>
      <c r="D46" s="12" t="s">
        <v>100</v>
      </c>
      <c r="E46" s="12" t="s">
        <v>27</v>
      </c>
      <c r="F46" s="12" t="s">
        <v>43</v>
      </c>
      <c r="G46" s="12" t="s">
        <v>528</v>
      </c>
      <c r="H46" s="13" t="s">
        <v>465</v>
      </c>
      <c r="I46" s="13">
        <v>1</v>
      </c>
      <c r="J46" s="13">
        <v>0</v>
      </c>
      <c r="K46" s="13" t="s">
        <v>255</v>
      </c>
      <c r="L46" s="13"/>
      <c r="M46" s="13" t="s">
        <v>367</v>
      </c>
      <c r="N46" s="13">
        <v>3</v>
      </c>
      <c r="O46" s="20">
        <v>0.8910815662438224</v>
      </c>
      <c r="P46" s="20">
        <v>0.87848319408279074</v>
      </c>
      <c r="Q46" s="20">
        <v>1.3164628583223938</v>
      </c>
      <c r="R46" s="22">
        <f>VLOOKUP(Tableau1[[#This Row],[Genbank Assembly Accession ID]],[1]data_genome_mock_composition!$E:$R,14,FALSE)</f>
        <v>37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8" ht="16.399999999999999" customHeight="1" x14ac:dyDescent="0.3">
      <c r="A47" s="12" t="s">
        <v>579</v>
      </c>
      <c r="B47" s="12" t="s">
        <v>218</v>
      </c>
      <c r="C47" s="12" t="s">
        <v>297</v>
      </c>
      <c r="D47" s="12" t="s">
        <v>245</v>
      </c>
      <c r="E47" s="12" t="s">
        <v>27</v>
      </c>
      <c r="F47" s="12" t="s">
        <v>69</v>
      </c>
      <c r="G47" s="12" t="s">
        <v>529</v>
      </c>
      <c r="H47" s="13" t="s">
        <v>466</v>
      </c>
      <c r="I47" s="13">
        <v>1</v>
      </c>
      <c r="J47" s="13">
        <v>0</v>
      </c>
      <c r="K47" s="13" t="s">
        <v>255</v>
      </c>
      <c r="L47" s="13"/>
      <c r="M47" s="13" t="s">
        <v>392</v>
      </c>
      <c r="N47" s="13">
        <v>1</v>
      </c>
      <c r="O47" s="20">
        <v>6.9502630609057059</v>
      </c>
      <c r="P47" s="20">
        <v>6.8519982061770195</v>
      </c>
      <c r="Q47" s="20" t="s">
        <v>6</v>
      </c>
      <c r="R47" s="22">
        <f>VLOOKUP(Tableau1[[#This Row],[Genbank Assembly Accession ID]],[1]data_genome_mock_composition!$E:$R,14,FALSE)</f>
        <v>30</v>
      </c>
      <c r="AJ47" s="7"/>
      <c r="AK47" s="7"/>
      <c r="AL47" s="7"/>
    </row>
    <row r="48" spans="1:38" ht="16.399999999999999" customHeight="1" x14ac:dyDescent="0.3">
      <c r="A48" s="12" t="s">
        <v>580</v>
      </c>
      <c r="B48" s="12" t="s">
        <v>201</v>
      </c>
      <c r="C48" s="12" t="s">
        <v>290</v>
      </c>
      <c r="D48" s="12" t="s">
        <v>229</v>
      </c>
      <c r="E48" s="12" t="s">
        <v>27</v>
      </c>
      <c r="F48" s="12" t="s">
        <v>270</v>
      </c>
      <c r="G48" s="12" t="s">
        <v>270</v>
      </c>
      <c r="H48" s="13" t="s">
        <v>467</v>
      </c>
      <c r="I48" s="13">
        <v>2</v>
      </c>
      <c r="J48" s="13">
        <v>0</v>
      </c>
      <c r="K48" s="13" t="s">
        <v>255</v>
      </c>
      <c r="L48" s="13" t="s">
        <v>260</v>
      </c>
      <c r="M48" s="13" t="s">
        <v>359</v>
      </c>
      <c r="N48" s="13">
        <v>10</v>
      </c>
      <c r="O48" s="20">
        <v>1.3566218977486437</v>
      </c>
      <c r="P48" s="20">
        <v>1.3374415800346471</v>
      </c>
      <c r="Q48" s="20">
        <v>1.7815476869941731</v>
      </c>
      <c r="R48" s="22">
        <f>VLOOKUP(Tableau1[[#This Row],[Genbank Assembly Accession ID]],[1]data_genome_mock_composition!$E:$R,14,FALSE)</f>
        <v>86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8" ht="16.399999999999999" customHeight="1" x14ac:dyDescent="0.3">
      <c r="A49" s="12" t="s">
        <v>20</v>
      </c>
      <c r="B49" s="12" t="s">
        <v>174</v>
      </c>
      <c r="C49" s="12" t="s">
        <v>339</v>
      </c>
      <c r="D49" s="12" t="s">
        <v>175</v>
      </c>
      <c r="E49" s="12" t="s">
        <v>5</v>
      </c>
      <c r="F49" s="12" t="s">
        <v>19</v>
      </c>
      <c r="G49" s="12" t="s">
        <v>519</v>
      </c>
      <c r="H49" s="13" t="s">
        <v>468</v>
      </c>
      <c r="I49" s="13">
        <v>1</v>
      </c>
      <c r="J49" s="13">
        <v>0</v>
      </c>
      <c r="K49" s="13" t="s">
        <v>255</v>
      </c>
      <c r="L49" s="13"/>
      <c r="M49" s="13" t="s">
        <v>358</v>
      </c>
      <c r="N49" s="13">
        <v>1</v>
      </c>
      <c r="O49" s="20">
        <v>2.8386032717915723</v>
      </c>
      <c r="P49" s="20">
        <v>2.7984702673727972</v>
      </c>
      <c r="Q49" s="20">
        <v>4.1917572937512055</v>
      </c>
      <c r="R49" s="22">
        <f>VLOOKUP(Tableau1[[#This Row],[Genbank Assembly Accession ID]],[1]data_genome_mock_composition!$E:$R,14,FALSE)</f>
        <v>8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8" ht="16.399999999999999" customHeight="1" x14ac:dyDescent="0.3">
      <c r="A50" s="12" t="s">
        <v>553</v>
      </c>
      <c r="B50" s="12" t="s">
        <v>162</v>
      </c>
      <c r="C50" s="12" t="s">
        <v>552</v>
      </c>
      <c r="D50" s="12" t="s">
        <v>227</v>
      </c>
      <c r="E50" s="12" t="s">
        <v>27</v>
      </c>
      <c r="F50" s="12" t="s">
        <v>29</v>
      </c>
      <c r="G50" s="12" t="s">
        <v>527</v>
      </c>
      <c r="H50" s="13" t="s">
        <v>469</v>
      </c>
      <c r="I50" s="13">
        <v>1</v>
      </c>
      <c r="J50" s="13">
        <v>0</v>
      </c>
      <c r="K50" s="13" t="s">
        <v>255</v>
      </c>
      <c r="L50" s="13"/>
      <c r="M50" s="13" t="s">
        <v>391</v>
      </c>
      <c r="N50" s="13">
        <v>3</v>
      </c>
      <c r="O50" s="20">
        <v>0.39056387256655478</v>
      </c>
      <c r="P50" s="20">
        <v>0.38504196614895447</v>
      </c>
      <c r="Q50" s="20">
        <v>0.3118972108539606</v>
      </c>
      <c r="R50" s="22">
        <f>VLOOKUP(Tableau1[[#This Row],[Genbank Assembly Accession ID]],[1]data_genome_mock_composition!$E:$R,14,FALSE)</f>
        <v>51</v>
      </c>
      <c r="AJ50" s="7"/>
      <c r="AK50" s="7"/>
      <c r="AL50" s="7"/>
    </row>
    <row r="51" spans="1:38" ht="16.399999999999999" customHeight="1" x14ac:dyDescent="0.3">
      <c r="A51" s="12" t="s">
        <v>554</v>
      </c>
      <c r="B51" s="12" t="s">
        <v>147</v>
      </c>
      <c r="C51" s="12" t="s">
        <v>312</v>
      </c>
      <c r="D51" s="12" t="s">
        <v>172</v>
      </c>
      <c r="E51" s="12" t="s">
        <v>27</v>
      </c>
      <c r="F51" s="12" t="s">
        <v>39</v>
      </c>
      <c r="G51" s="12" t="s">
        <v>530</v>
      </c>
      <c r="H51" s="13" t="s">
        <v>470</v>
      </c>
      <c r="I51" s="13">
        <v>3</v>
      </c>
      <c r="J51" s="13">
        <v>0</v>
      </c>
      <c r="K51" s="13" t="s">
        <v>255</v>
      </c>
      <c r="L51" s="13" t="s">
        <v>256</v>
      </c>
      <c r="M51" s="13" t="s">
        <v>393</v>
      </c>
      <c r="N51" s="13">
        <v>5</v>
      </c>
      <c r="O51" s="20">
        <v>1.6502324032045181</v>
      </c>
      <c r="P51" s="20">
        <v>1.6269009341725629</v>
      </c>
      <c r="Q51" s="20">
        <v>2.6005486650134242</v>
      </c>
      <c r="R51" s="22">
        <f>VLOOKUP(Tableau1[[#This Row],[Genbank Assembly Accession ID]],[1]data_genome_mock_composition!$E:$R,14,FALSE)</f>
        <v>48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8" ht="16.399999999999999" customHeight="1" x14ac:dyDescent="0.3">
      <c r="A52" s="12" t="s">
        <v>581</v>
      </c>
      <c r="B52" s="12" t="s">
        <v>105</v>
      </c>
      <c r="C52" s="12" t="s">
        <v>275</v>
      </c>
      <c r="D52" s="12" t="s">
        <v>110</v>
      </c>
      <c r="E52" s="12" t="s">
        <v>27</v>
      </c>
      <c r="F52" s="12" t="s">
        <v>39</v>
      </c>
      <c r="G52" s="12" t="s">
        <v>530</v>
      </c>
      <c r="H52" s="13" t="s">
        <v>471</v>
      </c>
      <c r="I52" s="13">
        <v>1</v>
      </c>
      <c r="J52" s="13">
        <v>0</v>
      </c>
      <c r="K52" s="13" t="s">
        <v>255</v>
      </c>
      <c r="L52" s="13"/>
      <c r="M52" s="13" t="s">
        <v>394</v>
      </c>
      <c r="N52" s="13">
        <v>3</v>
      </c>
      <c r="O52" s="20">
        <v>0.20326572701485365</v>
      </c>
      <c r="P52" s="20">
        <v>0.20039189663442014</v>
      </c>
      <c r="Q52" s="20">
        <v>0.10009999462897422</v>
      </c>
      <c r="R52" s="22">
        <f>VLOOKUP(Tableau1[[#This Row],[Genbank Assembly Accession ID]],[1]data_genome_mock_composition!$E:$R,14,FALSE)</f>
        <v>47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8" ht="16.399999999999999" customHeight="1" x14ac:dyDescent="0.3">
      <c r="A53" s="12" t="s">
        <v>582</v>
      </c>
      <c r="B53" s="12" t="s">
        <v>217</v>
      </c>
      <c r="C53" s="12" t="s">
        <v>296</v>
      </c>
      <c r="D53" s="12" t="s">
        <v>244</v>
      </c>
      <c r="E53" s="12" t="s">
        <v>27</v>
      </c>
      <c r="F53" s="12" t="s">
        <v>69</v>
      </c>
      <c r="G53" s="12" t="s">
        <v>529</v>
      </c>
      <c r="H53" s="13" t="s">
        <v>472</v>
      </c>
      <c r="I53" s="13">
        <v>1</v>
      </c>
      <c r="J53" s="13">
        <v>0</v>
      </c>
      <c r="K53" s="13" t="s">
        <v>255</v>
      </c>
      <c r="L53" s="13"/>
      <c r="M53" s="13" t="s">
        <v>395</v>
      </c>
      <c r="N53" s="13">
        <v>1</v>
      </c>
      <c r="O53" s="20">
        <v>1.6074819757894294</v>
      </c>
      <c r="P53" s="20">
        <v>1.5847549248208943</v>
      </c>
      <c r="Q53" s="20">
        <v>3.1664745356886717</v>
      </c>
      <c r="R53" s="22">
        <f>VLOOKUP(Tableau1[[#This Row],[Genbank Assembly Accession ID]],[1]data_genome_mock_composition!$E:$R,14,FALSE)</f>
        <v>29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8" ht="16.399999999999999" customHeight="1" x14ac:dyDescent="0.3">
      <c r="A54" s="12" t="s">
        <v>51</v>
      </c>
      <c r="B54" s="12" t="s">
        <v>164</v>
      </c>
      <c r="C54" s="12" t="s">
        <v>325</v>
      </c>
      <c r="D54" s="12" t="s">
        <v>243</v>
      </c>
      <c r="E54" s="12" t="s">
        <v>27</v>
      </c>
      <c r="F54" s="12" t="s">
        <v>43</v>
      </c>
      <c r="G54" s="12" t="s">
        <v>528</v>
      </c>
      <c r="H54" s="13" t="s">
        <v>473</v>
      </c>
      <c r="I54" s="13">
        <v>1</v>
      </c>
      <c r="J54" s="13">
        <v>0</v>
      </c>
      <c r="K54" s="13" t="s">
        <v>255</v>
      </c>
      <c r="L54" s="13"/>
      <c r="M54" s="13" t="s">
        <v>396</v>
      </c>
      <c r="N54" s="13">
        <v>4</v>
      </c>
      <c r="O54" s="20">
        <v>2.4816006004718845</v>
      </c>
      <c r="P54" s="20">
        <v>2.4465150043781709</v>
      </c>
      <c r="Q54" s="20">
        <v>1.8331290554482584</v>
      </c>
      <c r="R54" s="22">
        <f>VLOOKUP(Tableau1[[#This Row],[Genbank Assembly Accession ID]],[1]data_genome_mock_composition!$E:$R,14,FALSE)</f>
        <v>33</v>
      </c>
      <c r="AJ54" s="7"/>
      <c r="AK54" s="7"/>
      <c r="AL54" s="7"/>
    </row>
    <row r="55" spans="1:38" ht="16.399999999999999" customHeight="1" x14ac:dyDescent="0.3">
      <c r="A55" s="12" t="s">
        <v>583</v>
      </c>
      <c r="B55" s="12" t="s">
        <v>584</v>
      </c>
      <c r="C55" s="12" t="s">
        <v>555</v>
      </c>
      <c r="D55" s="12" t="s">
        <v>246</v>
      </c>
      <c r="E55" s="12" t="s">
        <v>27</v>
      </c>
      <c r="F55" s="12" t="s">
        <v>69</v>
      </c>
      <c r="G55" s="12" t="s">
        <v>529</v>
      </c>
      <c r="H55" s="13" t="s">
        <v>474</v>
      </c>
      <c r="I55" s="13">
        <v>1</v>
      </c>
      <c r="J55" s="13">
        <v>0</v>
      </c>
      <c r="K55" s="13" t="s">
        <v>255</v>
      </c>
      <c r="L55" s="13"/>
      <c r="M55" s="13" t="s">
        <v>397</v>
      </c>
      <c r="N55" s="13">
        <v>1</v>
      </c>
      <c r="O55" s="20" t="s">
        <v>6</v>
      </c>
      <c r="P55" s="20" t="s">
        <v>6</v>
      </c>
      <c r="Q55" s="20">
        <v>6.1406434260504295</v>
      </c>
      <c r="R55" s="22">
        <f>VLOOKUP(Tableau1[[#This Row],[Genbank Assembly Accession ID]],[1]data_genome_mock_composition!$E:$R,14,FALSE)</f>
        <v>31</v>
      </c>
      <c r="AJ55" s="7"/>
      <c r="AK55" s="7"/>
      <c r="AL55" s="7"/>
    </row>
    <row r="56" spans="1:38" ht="16.399999999999999" customHeight="1" x14ac:dyDescent="0.3">
      <c r="A56" s="12" t="s">
        <v>58</v>
      </c>
      <c r="B56" s="12" t="s">
        <v>149</v>
      </c>
      <c r="C56" s="12" t="s">
        <v>342</v>
      </c>
      <c r="D56" s="12" t="s">
        <v>180</v>
      </c>
      <c r="E56" s="12" t="s">
        <v>27</v>
      </c>
      <c r="F56" s="12" t="s">
        <v>271</v>
      </c>
      <c r="G56" s="12" t="s">
        <v>531</v>
      </c>
      <c r="H56" s="13" t="s">
        <v>475</v>
      </c>
      <c r="I56" s="13">
        <v>1</v>
      </c>
      <c r="J56" s="13">
        <v>0</v>
      </c>
      <c r="K56" s="13" t="s">
        <v>255</v>
      </c>
      <c r="L56" s="13"/>
      <c r="M56" s="13" t="s">
        <v>398</v>
      </c>
      <c r="N56" s="13">
        <v>2</v>
      </c>
      <c r="O56" s="20">
        <v>4.9764838436966247E-2</v>
      </c>
      <c r="P56" s="20">
        <v>4.9061248576157741E-2</v>
      </c>
      <c r="Q56" s="20" t="s">
        <v>6</v>
      </c>
      <c r="R56" s="22">
        <f>VLOOKUP(Tableau1[[#This Row],[Genbank Assembly Accession ID]],[1]data_genome_mock_composition!$E:$R,14,FALSE)</f>
        <v>82</v>
      </c>
      <c r="AJ56" s="7"/>
      <c r="AK56" s="7"/>
      <c r="AL56" s="7"/>
    </row>
    <row r="57" spans="1:38" ht="16.399999999999999" customHeight="1" x14ac:dyDescent="0.3">
      <c r="A57" s="12" t="s">
        <v>70</v>
      </c>
      <c r="B57" s="12" t="s">
        <v>83</v>
      </c>
      <c r="C57" s="12" t="s">
        <v>301</v>
      </c>
      <c r="D57" s="12" t="s">
        <v>84</v>
      </c>
      <c r="E57" s="12" t="s">
        <v>27</v>
      </c>
      <c r="F57" s="12" t="s">
        <v>71</v>
      </c>
      <c r="G57" s="12" t="s">
        <v>532</v>
      </c>
      <c r="H57" s="13" t="s">
        <v>476</v>
      </c>
      <c r="I57" s="13">
        <v>1</v>
      </c>
      <c r="J57" s="13">
        <v>0</v>
      </c>
      <c r="K57" s="13" t="s">
        <v>255</v>
      </c>
      <c r="L57" s="13"/>
      <c r="M57" s="13" t="s">
        <v>399</v>
      </c>
      <c r="N57" s="13">
        <v>3</v>
      </c>
      <c r="O57" s="20">
        <v>0.90751357854243131</v>
      </c>
      <c r="P57" s="20">
        <v>0.89468288577896005</v>
      </c>
      <c r="Q57" s="20">
        <v>1.2513565168185226</v>
      </c>
      <c r="R57" s="22">
        <f>VLOOKUP(Tableau1[[#This Row],[Genbank Assembly Accession ID]],[1]data_genome_mock_composition!$E:$R,14,FALSE)</f>
        <v>57</v>
      </c>
      <c r="AJ57" s="7"/>
      <c r="AK57" s="7"/>
      <c r="AL57" s="7"/>
    </row>
    <row r="58" spans="1:38" ht="16.399999999999999" customHeight="1" x14ac:dyDescent="0.3">
      <c r="A58" s="12" t="s">
        <v>585</v>
      </c>
      <c r="B58" s="12" t="s">
        <v>586</v>
      </c>
      <c r="C58" s="12" t="s">
        <v>295</v>
      </c>
      <c r="D58" s="12" t="s">
        <v>242</v>
      </c>
      <c r="E58" s="12" t="s">
        <v>27</v>
      </c>
      <c r="F58" s="12" t="s">
        <v>30</v>
      </c>
      <c r="G58" s="12" t="s">
        <v>533</v>
      </c>
      <c r="H58" s="13" t="s">
        <v>477</v>
      </c>
      <c r="I58" s="13">
        <v>1</v>
      </c>
      <c r="J58" s="13">
        <v>0</v>
      </c>
      <c r="K58" s="13" t="s">
        <v>255</v>
      </c>
      <c r="L58" s="13"/>
      <c r="M58" s="13">
        <v>32</v>
      </c>
      <c r="N58" s="13">
        <v>3</v>
      </c>
      <c r="O58" s="20">
        <v>0.69215058894179471</v>
      </c>
      <c r="P58" s="20">
        <v>0.68236476120020728</v>
      </c>
      <c r="Q58" s="20">
        <v>0.54536903001224235</v>
      </c>
      <c r="R58" s="22">
        <f>VLOOKUP(Tableau1[[#This Row],[Genbank Assembly Accession ID]],[1]data_genome_mock_composition!$E:$R,14,FALSE)</f>
        <v>27</v>
      </c>
      <c r="AJ58" s="7"/>
      <c r="AK58" s="7"/>
      <c r="AL58" s="7"/>
    </row>
    <row r="59" spans="1:38" ht="16.399999999999999" customHeight="1" x14ac:dyDescent="0.3">
      <c r="A59" s="12" t="s">
        <v>34</v>
      </c>
      <c r="B59" s="12" t="s">
        <v>101</v>
      </c>
      <c r="C59" s="12" t="s">
        <v>305</v>
      </c>
      <c r="D59" s="12" t="s">
        <v>106</v>
      </c>
      <c r="E59" s="12" t="s">
        <v>27</v>
      </c>
      <c r="F59" s="12" t="s">
        <v>35</v>
      </c>
      <c r="G59" s="12" t="s">
        <v>517</v>
      </c>
      <c r="H59" s="13" t="s">
        <v>478</v>
      </c>
      <c r="I59" s="13">
        <v>1</v>
      </c>
      <c r="J59" s="13">
        <v>0</v>
      </c>
      <c r="K59" s="13" t="s">
        <v>255</v>
      </c>
      <c r="L59" s="13"/>
      <c r="M59" s="13" t="s">
        <v>400</v>
      </c>
      <c r="N59" s="13">
        <v>2</v>
      </c>
      <c r="O59" s="20">
        <v>2.3209800797704569</v>
      </c>
      <c r="P59" s="20">
        <v>2.2881653836405094</v>
      </c>
      <c r="Q59" s="20">
        <v>1.3715844590091748</v>
      </c>
      <c r="R59" s="22">
        <f>VLOOKUP(Tableau1[[#This Row],[Genbank Assembly Accession ID]],[1]data_genome_mock_composition!$E:$R,14,FALSE)</f>
        <v>62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8" ht="16.399999999999999" customHeight="1" x14ac:dyDescent="0.3">
      <c r="A60" s="12" t="s">
        <v>38</v>
      </c>
      <c r="B60" s="12" t="s">
        <v>154</v>
      </c>
      <c r="C60" s="12" t="s">
        <v>316</v>
      </c>
      <c r="D60" s="12" t="s">
        <v>207</v>
      </c>
      <c r="E60" s="12" t="s">
        <v>27</v>
      </c>
      <c r="F60" s="12" t="s">
        <v>35</v>
      </c>
      <c r="G60" s="12" t="s">
        <v>517</v>
      </c>
      <c r="H60" s="13" t="s">
        <v>479</v>
      </c>
      <c r="I60" s="13">
        <v>1</v>
      </c>
      <c r="J60" s="13">
        <v>0</v>
      </c>
      <c r="K60" s="13" t="s">
        <v>255</v>
      </c>
      <c r="L60" s="13"/>
      <c r="M60" s="13" t="s">
        <v>401</v>
      </c>
      <c r="N60" s="13">
        <v>3</v>
      </c>
      <c r="O60" s="20" t="s">
        <v>6</v>
      </c>
      <c r="P60" s="20" t="s">
        <v>6</v>
      </c>
      <c r="Q60" s="20">
        <v>0.10297887517686449</v>
      </c>
      <c r="R60" s="22">
        <f>VLOOKUP(Tableau1[[#This Row],[Genbank Assembly Accession ID]],[1]data_genome_mock_composition!$E:$R,14,FALSE)</f>
        <v>64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8" ht="16.399999999999999" customHeight="1" x14ac:dyDescent="0.3">
      <c r="A61" s="12" t="s">
        <v>63</v>
      </c>
      <c r="B61" s="12" t="s">
        <v>138</v>
      </c>
      <c r="C61" s="12" t="s">
        <v>336</v>
      </c>
      <c r="D61" s="12" t="s">
        <v>139</v>
      </c>
      <c r="E61" s="12" t="s">
        <v>27</v>
      </c>
      <c r="F61" s="12" t="s">
        <v>272</v>
      </c>
      <c r="G61" s="12" t="s">
        <v>521</v>
      </c>
      <c r="H61" s="13" t="s">
        <v>480</v>
      </c>
      <c r="I61" s="13">
        <v>1</v>
      </c>
      <c r="J61" s="13">
        <v>0</v>
      </c>
      <c r="K61" s="13" t="s">
        <v>255</v>
      </c>
      <c r="L61" s="13"/>
      <c r="M61" s="13" t="s">
        <v>402</v>
      </c>
      <c r="N61" s="13">
        <v>4</v>
      </c>
      <c r="O61" s="20">
        <v>3.3123054110216566E-3</v>
      </c>
      <c r="P61" s="20">
        <v>3.2654750670218888E-3</v>
      </c>
      <c r="Q61" s="20" t="s">
        <v>6</v>
      </c>
      <c r="R61" s="22">
        <f>VLOOKUP(Tableau1[[#This Row],[Genbank Assembly Accession ID]],[1]data_genome_mock_composition!$E:$R,14,FALSE)</f>
        <v>67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8" ht="16.399999999999999" customHeight="1" x14ac:dyDescent="0.3">
      <c r="A62" s="12" t="s">
        <v>587</v>
      </c>
      <c r="B62" s="12" t="s">
        <v>148</v>
      </c>
      <c r="C62" s="12" t="s">
        <v>280</v>
      </c>
      <c r="D62" s="12" t="s">
        <v>173</v>
      </c>
      <c r="E62" s="12" t="s">
        <v>27</v>
      </c>
      <c r="F62" s="12" t="s">
        <v>30</v>
      </c>
      <c r="G62" s="12" t="s">
        <v>533</v>
      </c>
      <c r="H62" s="13" t="s">
        <v>481</v>
      </c>
      <c r="I62" s="13">
        <v>1</v>
      </c>
      <c r="J62" s="13">
        <v>0</v>
      </c>
      <c r="K62" s="13" t="s">
        <v>255</v>
      </c>
      <c r="L62" s="13"/>
      <c r="M62" s="13" t="s">
        <v>403</v>
      </c>
      <c r="N62" s="13">
        <v>2</v>
      </c>
      <c r="O62" s="20">
        <v>1.6318937727031608</v>
      </c>
      <c r="P62" s="20">
        <v>1.6088215806002002</v>
      </c>
      <c r="Q62" s="20">
        <v>1.2858247007530661</v>
      </c>
      <c r="R62" s="22">
        <f>VLOOKUP(Tableau1[[#This Row],[Genbank Assembly Accession ID]],[1]data_genome_mock_composition!$E:$R,14,FALSE)</f>
        <v>25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8" ht="16.399999999999999" customHeight="1" x14ac:dyDescent="0.3">
      <c r="A63" s="12" t="s">
        <v>588</v>
      </c>
      <c r="B63" s="12" t="s">
        <v>206</v>
      </c>
      <c r="C63" s="12" t="s">
        <v>286</v>
      </c>
      <c r="D63" s="12" t="s">
        <v>208</v>
      </c>
      <c r="E63" s="12" t="s">
        <v>27</v>
      </c>
      <c r="F63" s="12" t="s">
        <v>30</v>
      </c>
      <c r="G63" s="12" t="s">
        <v>533</v>
      </c>
      <c r="H63" s="13" t="s">
        <v>482</v>
      </c>
      <c r="I63" s="13">
        <v>2</v>
      </c>
      <c r="J63" s="13">
        <v>0</v>
      </c>
      <c r="K63" s="13" t="s">
        <v>255</v>
      </c>
      <c r="L63" s="13" t="s">
        <v>260</v>
      </c>
      <c r="M63" s="13" t="s">
        <v>404</v>
      </c>
      <c r="N63" s="13">
        <v>2</v>
      </c>
      <c r="O63" s="20">
        <v>2.8062374214025518</v>
      </c>
      <c r="P63" s="20">
        <v>2.7665620148557966</v>
      </c>
      <c r="Q63" s="20">
        <v>1.5158569952865126</v>
      </c>
      <c r="R63" s="22">
        <f>VLOOKUP(Tableau1[[#This Row],[Genbank Assembly Accession ID]],[1]data_genome_mock_composition!$E:$R,14,FALSE)</f>
        <v>26</v>
      </c>
      <c r="AJ63" s="7"/>
      <c r="AK63" s="7"/>
      <c r="AL63" s="7"/>
    </row>
    <row r="64" spans="1:38" ht="16.399999999999999" customHeight="1" x14ac:dyDescent="0.3">
      <c r="A64" s="12" t="s">
        <v>41</v>
      </c>
      <c r="B64" s="12" t="s">
        <v>129</v>
      </c>
      <c r="C64" s="12" t="s">
        <v>308</v>
      </c>
      <c r="D64" s="12" t="s">
        <v>128</v>
      </c>
      <c r="E64" s="12" t="s">
        <v>27</v>
      </c>
      <c r="F64" s="12" t="s">
        <v>42</v>
      </c>
      <c r="G64" s="12" t="s">
        <v>534</v>
      </c>
      <c r="H64" s="13" t="s">
        <v>483</v>
      </c>
      <c r="I64" s="13">
        <v>1</v>
      </c>
      <c r="J64" s="13">
        <v>0</v>
      </c>
      <c r="K64" s="13" t="s">
        <v>255</v>
      </c>
      <c r="L64" s="13"/>
      <c r="M64" s="13">
        <v>34</v>
      </c>
      <c r="N64" s="13">
        <v>2</v>
      </c>
      <c r="O64" s="20">
        <v>0.68576458251641181</v>
      </c>
      <c r="P64" s="20">
        <v>0.6760690420039821</v>
      </c>
      <c r="Q64" s="20">
        <v>0.54033727798384679</v>
      </c>
      <c r="R64" s="22">
        <f>VLOOKUP(Tableau1[[#This Row],[Genbank Assembly Accession ID]],[1]data_genome_mock_composition!$E:$R,14,FALSE)</f>
        <v>28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8" ht="16.399999999999999" customHeight="1" x14ac:dyDescent="0.3">
      <c r="A65" s="12" t="s">
        <v>66</v>
      </c>
      <c r="B65" s="12" t="s">
        <v>202</v>
      </c>
      <c r="C65" s="12" t="s">
        <v>291</v>
      </c>
      <c r="D65" s="12" t="s">
        <v>230</v>
      </c>
      <c r="E65" s="12" t="s">
        <v>27</v>
      </c>
      <c r="F65" s="12" t="s">
        <v>270</v>
      </c>
      <c r="G65" s="12" t="s">
        <v>270</v>
      </c>
      <c r="H65" s="13" t="s">
        <v>484</v>
      </c>
      <c r="I65" s="13">
        <v>4</v>
      </c>
      <c r="J65" s="13">
        <v>0</v>
      </c>
      <c r="K65" s="13" t="s">
        <v>255</v>
      </c>
      <c r="L65" s="13" t="s">
        <v>258</v>
      </c>
      <c r="M65" s="13" t="s">
        <v>359</v>
      </c>
      <c r="N65" s="13">
        <v>10</v>
      </c>
      <c r="O65" s="20">
        <v>2.5364523173035618</v>
      </c>
      <c r="P65" s="20">
        <v>2.5005912115724644</v>
      </c>
      <c r="Q65" s="20">
        <v>2.9978357933821127</v>
      </c>
      <c r="R65" s="22">
        <f>VLOOKUP(Tableau1[[#This Row],[Genbank Assembly Accession ID]],[1]data_genome_mock_composition!$E:$R,14,FALSE)</f>
        <v>87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8" ht="16.399999999999999" customHeight="1" x14ac:dyDescent="0.3">
      <c r="A66" s="12" t="s">
        <v>44</v>
      </c>
      <c r="B66" s="12" t="s">
        <v>97</v>
      </c>
      <c r="C66" s="12" t="s">
        <v>330</v>
      </c>
      <c r="D66" s="12" t="s">
        <v>98</v>
      </c>
      <c r="E66" s="12" t="s">
        <v>27</v>
      </c>
      <c r="F66" s="12" t="s">
        <v>43</v>
      </c>
      <c r="G66" s="12" t="s">
        <v>528</v>
      </c>
      <c r="H66" s="13" t="s">
        <v>485</v>
      </c>
      <c r="I66" s="13">
        <v>3</v>
      </c>
      <c r="J66" s="13">
        <v>0</v>
      </c>
      <c r="K66" s="13" t="s">
        <v>255</v>
      </c>
      <c r="L66" s="13" t="s">
        <v>256</v>
      </c>
      <c r="M66" s="13" t="s">
        <v>387</v>
      </c>
      <c r="N66" s="13">
        <v>3</v>
      </c>
      <c r="O66" s="20">
        <v>0.21499273548667699</v>
      </c>
      <c r="P66" s="20">
        <v>0.21195310522589542</v>
      </c>
      <c r="Q66" s="20">
        <v>0.21175012613820735</v>
      </c>
      <c r="R66" s="22">
        <f>VLOOKUP(Tableau1[[#This Row],[Genbank Assembly Accession ID]],[1]data_genome_mock_composition!$E:$R,14,FALSE)</f>
        <v>36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8" ht="16.399999999999999" customHeight="1" x14ac:dyDescent="0.3">
      <c r="A67" s="12" t="s">
        <v>26</v>
      </c>
      <c r="B67" s="12" t="s">
        <v>77</v>
      </c>
      <c r="C67" s="12" t="s">
        <v>299</v>
      </c>
      <c r="D67" s="12" t="s">
        <v>78</v>
      </c>
      <c r="E67" s="12" t="s">
        <v>27</v>
      </c>
      <c r="F67" s="12" t="s">
        <v>28</v>
      </c>
      <c r="G67" s="12" t="s">
        <v>535</v>
      </c>
      <c r="H67" s="13" t="s">
        <v>486</v>
      </c>
      <c r="I67" s="13">
        <v>1</v>
      </c>
      <c r="J67" s="13">
        <v>0</v>
      </c>
      <c r="K67" s="13" t="s">
        <v>255</v>
      </c>
      <c r="L67" s="13"/>
      <c r="M67" s="13" t="s">
        <v>405</v>
      </c>
      <c r="N67" s="13">
        <v>1</v>
      </c>
      <c r="O67" s="20">
        <v>0.19978032180854857</v>
      </c>
      <c r="P67" s="20">
        <v>0.19695576910771756</v>
      </c>
      <c r="Q67" s="20">
        <v>0.12146120516937059</v>
      </c>
      <c r="R67" s="22">
        <f>VLOOKUP(Tableau1[[#This Row],[Genbank Assembly Accession ID]],[1]data_genome_mock_composition!$E:$R,14,FALSE)</f>
        <v>66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8" ht="16.399999999999999" customHeight="1" x14ac:dyDescent="0.3">
      <c r="A68" s="12" t="s">
        <v>61</v>
      </c>
      <c r="B68" s="12" t="s">
        <v>120</v>
      </c>
      <c r="C68" s="12" t="s">
        <v>334</v>
      </c>
      <c r="D68" s="12" t="s">
        <v>121</v>
      </c>
      <c r="E68" s="12" t="s">
        <v>27</v>
      </c>
      <c r="F68" s="12" t="s">
        <v>272</v>
      </c>
      <c r="G68" s="12" t="s">
        <v>536</v>
      </c>
      <c r="H68" s="13" t="s">
        <v>487</v>
      </c>
      <c r="I68" s="13">
        <v>1</v>
      </c>
      <c r="J68" s="13">
        <v>0</v>
      </c>
      <c r="K68" s="13" t="s">
        <v>255</v>
      </c>
      <c r="L68" s="13"/>
      <c r="M68" s="13" t="s">
        <v>406</v>
      </c>
      <c r="N68" s="13">
        <v>2</v>
      </c>
      <c r="O68" s="20" t="s">
        <v>6</v>
      </c>
      <c r="P68" s="20" t="s">
        <v>6</v>
      </c>
      <c r="Q68" s="20">
        <v>3.8171125870648741E-2</v>
      </c>
      <c r="R68" s="22">
        <f>VLOOKUP(Tableau1[[#This Row],[Genbank Assembly Accession ID]],[1]data_genome_mock_composition!$E:$R,14,FALSE)</f>
        <v>70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8" ht="16.399999999999999" customHeight="1" x14ac:dyDescent="0.3">
      <c r="A69" s="12" t="s">
        <v>4</v>
      </c>
      <c r="B69" s="12" t="s">
        <v>74</v>
      </c>
      <c r="C69" s="12" t="s">
        <v>300</v>
      </c>
      <c r="D69" s="12" t="s">
        <v>73</v>
      </c>
      <c r="E69" s="12" t="s">
        <v>5</v>
      </c>
      <c r="F69" s="12" t="s">
        <v>355</v>
      </c>
      <c r="G69" s="12" t="s">
        <v>537</v>
      </c>
      <c r="H69" s="13" t="s">
        <v>488</v>
      </c>
      <c r="I69" s="13">
        <v>1</v>
      </c>
      <c r="J69" s="13">
        <v>0</v>
      </c>
      <c r="K69" s="13" t="s">
        <v>255</v>
      </c>
      <c r="L69" s="13"/>
      <c r="M69" s="13" t="s">
        <v>407</v>
      </c>
      <c r="N69" s="13">
        <v>1</v>
      </c>
      <c r="O69" s="20">
        <v>3.4252418000919327E-2</v>
      </c>
      <c r="P69" s="20">
        <v>3.3768147283469968E-2</v>
      </c>
      <c r="Q69" s="20" t="s">
        <v>6</v>
      </c>
      <c r="R69" s="22">
        <f>VLOOKUP(Tableau1[[#This Row],[Genbank Assembly Accession ID]],[1]data_genome_mock_composition!$E:$R,14,FALSE)</f>
        <v>17</v>
      </c>
      <c r="AJ69" s="7"/>
      <c r="AK69" s="7"/>
      <c r="AL69" s="7"/>
    </row>
    <row r="70" spans="1:38" ht="16.399999999999999" customHeight="1" x14ac:dyDescent="0.3">
      <c r="A70" s="12" t="s">
        <v>8</v>
      </c>
      <c r="B70" s="12" t="s">
        <v>146</v>
      </c>
      <c r="C70" s="12" t="s">
        <v>337</v>
      </c>
      <c r="D70" s="12" t="s">
        <v>169</v>
      </c>
      <c r="E70" s="12" t="s">
        <v>5</v>
      </c>
      <c r="F70" s="12" t="s">
        <v>355</v>
      </c>
      <c r="G70" s="12" t="s">
        <v>516</v>
      </c>
      <c r="H70" s="13" t="s">
        <v>489</v>
      </c>
      <c r="I70" s="13">
        <v>5</v>
      </c>
      <c r="J70" s="13">
        <v>0</v>
      </c>
      <c r="K70" s="13" t="s">
        <v>255</v>
      </c>
      <c r="L70" s="13" t="s">
        <v>259</v>
      </c>
      <c r="M70" s="13" t="s">
        <v>408</v>
      </c>
      <c r="N70" s="13">
        <v>2</v>
      </c>
      <c r="O70" s="20">
        <v>4.8271005094235528E-2</v>
      </c>
      <c r="P70" s="20">
        <v>4.7588535486736284E-2</v>
      </c>
      <c r="Q70" s="20">
        <v>4.7542961832567773E-2</v>
      </c>
      <c r="R70" s="22">
        <f>VLOOKUP(Tableau1[[#This Row],[Genbank Assembly Accession ID]],[1]data_genome_mock_composition!$E:$R,14,FALSE)</f>
        <v>23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8" ht="16.399999999999999" customHeight="1" x14ac:dyDescent="0.3">
      <c r="A71" s="12" t="s">
        <v>11</v>
      </c>
      <c r="B71" s="12" t="s">
        <v>150</v>
      </c>
      <c r="C71" s="12" t="s">
        <v>343</v>
      </c>
      <c r="D71" s="12" t="s">
        <v>183</v>
      </c>
      <c r="E71" s="12" t="s">
        <v>5</v>
      </c>
      <c r="F71" s="12" t="s">
        <v>355</v>
      </c>
      <c r="G71" s="12" t="s">
        <v>518</v>
      </c>
      <c r="H71" s="13" t="s">
        <v>490</v>
      </c>
      <c r="I71" s="13">
        <v>3</v>
      </c>
      <c r="J71" s="13">
        <v>4</v>
      </c>
      <c r="K71" s="13" t="s">
        <v>255</v>
      </c>
      <c r="L71" s="13" t="s">
        <v>256</v>
      </c>
      <c r="M71" s="13" t="s">
        <v>409</v>
      </c>
      <c r="N71" s="13">
        <v>2</v>
      </c>
      <c r="O71" s="20">
        <v>5.6458013516483971</v>
      </c>
      <c r="P71" s="20">
        <v>5.565979358612287</v>
      </c>
      <c r="Q71" s="20">
        <v>11.121298081598615</v>
      </c>
      <c r="R71" s="22">
        <f>VLOOKUP(Tableau1[[#This Row],[Genbank Assembly Accession ID]],[1]data_genome_mock_composition!$E:$R,14,FALSE)</f>
        <v>14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8" ht="16.399999999999999" customHeight="1" x14ac:dyDescent="0.3">
      <c r="A72" s="12" t="s">
        <v>18</v>
      </c>
      <c r="B72" s="12" t="s">
        <v>75</v>
      </c>
      <c r="C72" s="12" t="s">
        <v>298</v>
      </c>
      <c r="D72" s="12" t="s">
        <v>76</v>
      </c>
      <c r="E72" s="12" t="s">
        <v>5</v>
      </c>
      <c r="F72" s="12" t="s">
        <v>19</v>
      </c>
      <c r="G72" s="12" t="s">
        <v>519</v>
      </c>
      <c r="H72" s="13" t="s">
        <v>491</v>
      </c>
      <c r="I72" s="13">
        <v>1</v>
      </c>
      <c r="J72" s="13">
        <v>0</v>
      </c>
      <c r="K72" s="13" t="s">
        <v>255</v>
      </c>
      <c r="L72" s="13"/>
      <c r="M72" s="13" t="s">
        <v>388</v>
      </c>
      <c r="N72" s="13">
        <v>1</v>
      </c>
      <c r="O72" s="20">
        <v>3.4160465200916861E-2</v>
      </c>
      <c r="P72" s="20">
        <v>3.3677494539084814E-2</v>
      </c>
      <c r="Q72" s="20">
        <v>3.3645242937439826E-2</v>
      </c>
      <c r="R72" s="22">
        <f>VLOOKUP(Tableau1[[#This Row],[Genbank Assembly Accession ID]],[1]data_genome_mock_composition!$E:$R,14,FALSE)</f>
        <v>6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8" ht="16.399999999999999" customHeight="1" x14ac:dyDescent="0.3">
      <c r="A73" s="12" t="s">
        <v>589</v>
      </c>
      <c r="B73" s="12" t="s">
        <v>82</v>
      </c>
      <c r="C73" s="12" t="s">
        <v>590</v>
      </c>
      <c r="D73" s="12" t="s">
        <v>81</v>
      </c>
      <c r="E73" s="12" t="s">
        <v>27</v>
      </c>
      <c r="F73" s="12" t="s">
        <v>29</v>
      </c>
      <c r="G73" s="12" t="s">
        <v>527</v>
      </c>
      <c r="H73" s="13" t="s">
        <v>492</v>
      </c>
      <c r="I73" s="13">
        <v>2</v>
      </c>
      <c r="J73" s="13">
        <v>200</v>
      </c>
      <c r="K73" s="13" t="s">
        <v>10</v>
      </c>
      <c r="L73" s="13"/>
      <c r="M73" s="13" t="s">
        <v>408</v>
      </c>
      <c r="N73" s="13">
        <v>2</v>
      </c>
      <c r="O73" s="20" t="s">
        <v>6</v>
      </c>
      <c r="P73" s="20">
        <v>8.3982371319224036E-2</v>
      </c>
      <c r="Q73" s="20" t="s">
        <v>6</v>
      </c>
      <c r="R73" s="22">
        <f>VLOOKUP(Tableau1[[#This Row],[Genbank Assembly Accession ID]],[1]data_genome_mock_composition!$E:$R,14,FALSE)</f>
        <v>54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8" ht="16.399999999999999" customHeight="1" x14ac:dyDescent="0.3">
      <c r="A74" s="12" t="s">
        <v>62</v>
      </c>
      <c r="B74" s="12" t="s">
        <v>124</v>
      </c>
      <c r="C74" s="12" t="s">
        <v>335</v>
      </c>
      <c r="D74" s="12" t="s">
        <v>125</v>
      </c>
      <c r="E74" s="12" t="s">
        <v>27</v>
      </c>
      <c r="F74" s="12" t="s">
        <v>272</v>
      </c>
      <c r="G74" s="12" t="s">
        <v>536</v>
      </c>
      <c r="H74" s="13" t="s">
        <v>453</v>
      </c>
      <c r="I74" s="13">
        <v>47</v>
      </c>
      <c r="J74" s="13">
        <v>40978</v>
      </c>
      <c r="K74" s="13" t="s">
        <v>10</v>
      </c>
      <c r="L74" s="13"/>
      <c r="M74" s="13">
        <v>63</v>
      </c>
      <c r="N74" s="13">
        <v>2</v>
      </c>
      <c r="O74" s="20">
        <v>4.3878528577039759</v>
      </c>
      <c r="P74" s="20">
        <v>4.3258161088996872</v>
      </c>
      <c r="Q74" s="20">
        <v>6.4825101694118983</v>
      </c>
      <c r="R74" s="22">
        <f>VLOOKUP(Tableau1[[#This Row],[Genbank Assembly Accession ID]],[1]data_genome_mock_composition!$E:$R,14,FALSE)</f>
        <v>72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8" ht="16.399999999999999" customHeight="1" x14ac:dyDescent="0.3">
      <c r="A75" s="12" t="s">
        <v>15</v>
      </c>
      <c r="B75" s="12" t="s">
        <v>194</v>
      </c>
      <c r="C75" s="12" t="s">
        <v>346</v>
      </c>
      <c r="D75" s="12" t="s">
        <v>195</v>
      </c>
      <c r="E75" s="12" t="s">
        <v>5</v>
      </c>
      <c r="F75" s="12" t="s">
        <v>355</v>
      </c>
      <c r="G75" s="12" t="s">
        <v>538</v>
      </c>
      <c r="H75" s="13" t="s">
        <v>493</v>
      </c>
      <c r="I75" s="13">
        <v>1</v>
      </c>
      <c r="J75" s="13">
        <v>0</v>
      </c>
      <c r="K75" s="13" t="s">
        <v>255</v>
      </c>
      <c r="L75" s="13"/>
      <c r="M75" s="13" t="s">
        <v>368</v>
      </c>
      <c r="N75" s="13">
        <v>2</v>
      </c>
      <c r="O75" s="20">
        <v>7.1833397589831218</v>
      </c>
      <c r="P75" s="20">
        <v>7.0817795976341644</v>
      </c>
      <c r="Q75" s="20">
        <v>5.6599981264112493</v>
      </c>
      <c r="R75" s="22">
        <f>VLOOKUP(Tableau1[[#This Row],[Genbank Assembly Accession ID]],[1]data_genome_mock_composition!$E:$R,14,FALSE)</f>
        <v>13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8" ht="16.399999999999999" customHeight="1" x14ac:dyDescent="0.3">
      <c r="A76" s="12" t="s">
        <v>48</v>
      </c>
      <c r="B76" s="12" t="s">
        <v>130</v>
      </c>
      <c r="C76" s="12" t="s">
        <v>309</v>
      </c>
      <c r="D76" s="12" t="s">
        <v>131</v>
      </c>
      <c r="E76" s="12" t="s">
        <v>27</v>
      </c>
      <c r="F76" s="12" t="s">
        <v>43</v>
      </c>
      <c r="G76" s="12" t="s">
        <v>43</v>
      </c>
      <c r="H76" s="13" t="s">
        <v>494</v>
      </c>
      <c r="I76" s="13">
        <v>1</v>
      </c>
      <c r="J76" s="13">
        <v>0</v>
      </c>
      <c r="K76" s="13" t="s">
        <v>255</v>
      </c>
      <c r="L76" s="13"/>
      <c r="M76" s="13" t="s">
        <v>410</v>
      </c>
      <c r="N76" s="13">
        <v>4</v>
      </c>
      <c r="O76" s="20">
        <v>0.1523040304414984</v>
      </c>
      <c r="P76" s="20">
        <v>0.20930099172199856</v>
      </c>
      <c r="Q76" s="20">
        <v>0.3000138361358094</v>
      </c>
      <c r="R76" s="22">
        <f>VLOOKUP(Tableau1[[#This Row],[Genbank Assembly Accession ID]],[1]data_genome_mock_composition!$E:$R,14,FALSE)</f>
        <v>42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8" ht="14" x14ac:dyDescent="0.3">
      <c r="A77" s="12" t="s">
        <v>542</v>
      </c>
      <c r="B77" s="12" t="s">
        <v>122</v>
      </c>
      <c r="C77" s="12" t="s">
        <v>543</v>
      </c>
      <c r="D77" s="12" t="s">
        <v>123</v>
      </c>
      <c r="E77" s="12" t="s">
        <v>27</v>
      </c>
      <c r="F77" s="12" t="s">
        <v>272</v>
      </c>
      <c r="G77" s="12" t="s">
        <v>536</v>
      </c>
      <c r="H77" s="13" t="s">
        <v>495</v>
      </c>
      <c r="I77" s="13">
        <v>1</v>
      </c>
      <c r="J77" s="13">
        <v>0</v>
      </c>
      <c r="K77" s="13" t="s">
        <v>255</v>
      </c>
      <c r="L77" s="13"/>
      <c r="M77" s="13" t="s">
        <v>411</v>
      </c>
      <c r="N77" s="13">
        <v>2</v>
      </c>
      <c r="O77" s="20">
        <v>5.2882174700640126E-2</v>
      </c>
      <c r="P77" s="20">
        <v>5.2134511026739085E-2</v>
      </c>
      <c r="Q77" s="20">
        <v>3.255286491999048E-2</v>
      </c>
      <c r="R77" s="22">
        <f>VLOOKUP(Tableau1[[#This Row],[Genbank Assembly Accession ID]],[1]data_genome_mock_composition!$E:$R,14,FALSE)</f>
        <v>71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8" ht="14" x14ac:dyDescent="0.3">
      <c r="A78" s="12" t="s">
        <v>591</v>
      </c>
      <c r="B78" s="12" t="s">
        <v>93</v>
      </c>
      <c r="C78" s="12" t="s">
        <v>592</v>
      </c>
      <c r="D78" s="12" t="s">
        <v>94</v>
      </c>
      <c r="E78" s="12" t="s">
        <v>27</v>
      </c>
      <c r="F78" s="12" t="s">
        <v>271</v>
      </c>
      <c r="G78" s="12" t="s">
        <v>270</v>
      </c>
      <c r="H78" s="13" t="s">
        <v>496</v>
      </c>
      <c r="I78" s="13">
        <v>1</v>
      </c>
      <c r="J78" s="13">
        <v>0</v>
      </c>
      <c r="K78" s="13" t="s">
        <v>255</v>
      </c>
      <c r="L78" s="13"/>
      <c r="M78" s="13" t="s">
        <v>412</v>
      </c>
      <c r="N78" s="13">
        <v>3</v>
      </c>
      <c r="O78" s="20">
        <v>0.47665646362705621</v>
      </c>
      <c r="P78" s="20">
        <v>0.46991735494248532</v>
      </c>
      <c r="Q78" s="20">
        <v>0.46946733371777455</v>
      </c>
      <c r="R78" s="22">
        <f>VLOOKUP(Tableau1[[#This Row],[Genbank Assembly Accession ID]],[1]data_genome_mock_composition!$E:$R,14,FALSE)</f>
        <v>83</v>
      </c>
      <c r="AJ78" s="7"/>
      <c r="AK78" s="7"/>
      <c r="AL78" s="7"/>
    </row>
    <row r="79" spans="1:38" ht="14" x14ac:dyDescent="0.3">
      <c r="A79" s="12" t="s">
        <v>593</v>
      </c>
      <c r="B79" s="12" t="s">
        <v>127</v>
      </c>
      <c r="C79" s="12" t="s">
        <v>594</v>
      </c>
      <c r="D79" s="12" t="s">
        <v>126</v>
      </c>
      <c r="E79" s="12" t="s">
        <v>27</v>
      </c>
      <c r="F79" s="12" t="s">
        <v>272</v>
      </c>
      <c r="G79" s="12" t="s">
        <v>536</v>
      </c>
      <c r="H79" s="13" t="s">
        <v>497</v>
      </c>
      <c r="I79" s="13">
        <v>2</v>
      </c>
      <c r="J79" s="13">
        <v>0</v>
      </c>
      <c r="K79" s="13" t="s">
        <v>255</v>
      </c>
      <c r="L79" s="13" t="s">
        <v>260</v>
      </c>
      <c r="M79" s="13" t="s">
        <v>413</v>
      </c>
      <c r="N79" s="13">
        <v>5</v>
      </c>
      <c r="O79" s="20">
        <v>2.7146183012995262E-2</v>
      </c>
      <c r="P79" s="20">
        <v>2.6762382327059395E-2</v>
      </c>
      <c r="Q79" s="20">
        <v>5.3473506108571038E-2</v>
      </c>
      <c r="R79" s="22">
        <f>VLOOKUP(Tableau1[[#This Row],[Genbank Assembly Accession ID]],[1]data_genome_mock_composition!$E:$R,14,FALSE)</f>
        <v>73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8" ht="14.15" customHeight="1" x14ac:dyDescent="0.3">
      <c r="A80" s="12" t="s">
        <v>55</v>
      </c>
      <c r="B80" s="12" t="s">
        <v>160</v>
      </c>
      <c r="C80" s="12" t="s">
        <v>322</v>
      </c>
      <c r="D80" s="12" t="s">
        <v>225</v>
      </c>
      <c r="E80" s="12" t="s">
        <v>27</v>
      </c>
      <c r="F80" s="12" t="s">
        <v>56</v>
      </c>
      <c r="G80" s="12" t="s">
        <v>539</v>
      </c>
      <c r="H80" s="13" t="s">
        <v>498</v>
      </c>
      <c r="I80" s="13">
        <v>1</v>
      </c>
      <c r="J80" s="13">
        <v>0</v>
      </c>
      <c r="K80" s="13" t="s">
        <v>255</v>
      </c>
      <c r="L80" s="13"/>
      <c r="M80" s="13" t="s">
        <v>414</v>
      </c>
      <c r="N80" s="13">
        <v>1</v>
      </c>
      <c r="O80" s="20">
        <v>1.3177841732417428</v>
      </c>
      <c r="P80" s="20">
        <v>1.2991529546515088</v>
      </c>
      <c r="Q80" s="20">
        <v>0.77874528441682467</v>
      </c>
      <c r="R80" s="22">
        <f>VLOOKUP(Tableau1[[#This Row],[Genbank Assembly Accession ID]],[1]data_genome_mock_composition!$E:$R,14,FALSE)</f>
        <v>49</v>
      </c>
      <c r="AE80" s="5"/>
      <c r="AF80" s="5"/>
      <c r="AG80" s="5"/>
      <c r="AH80" s="5"/>
      <c r="AI80" s="5"/>
    </row>
    <row r="81" spans="1:38" ht="14" x14ac:dyDescent="0.3">
      <c r="A81" s="12" t="s">
        <v>64</v>
      </c>
      <c r="B81" s="12" t="s">
        <v>166</v>
      </c>
      <c r="C81" s="12" t="s">
        <v>351</v>
      </c>
      <c r="D81" s="12" t="s">
        <v>248</v>
      </c>
      <c r="E81" s="12" t="s">
        <v>27</v>
      </c>
      <c r="F81" s="12" t="s">
        <v>273</v>
      </c>
      <c r="G81" s="12" t="s">
        <v>523</v>
      </c>
      <c r="H81" s="13" t="s">
        <v>499</v>
      </c>
      <c r="I81" s="13">
        <v>1</v>
      </c>
      <c r="J81" s="13">
        <v>0</v>
      </c>
      <c r="K81" s="13" t="s">
        <v>255</v>
      </c>
      <c r="L81" s="13"/>
      <c r="M81" s="13" t="s">
        <v>415</v>
      </c>
      <c r="N81" s="13">
        <v>3</v>
      </c>
      <c r="O81" s="20">
        <v>0.65604669177972719</v>
      </c>
      <c r="P81" s="20">
        <v>0.6467713115102256</v>
      </c>
      <c r="Q81" s="20">
        <v>0.53925178973275234</v>
      </c>
      <c r="R81" s="22">
        <f>VLOOKUP(Tableau1[[#This Row],[Genbank Assembly Accession ID]],[1]data_genome_mock_composition!$E:$R,14,FALSE)</f>
        <v>75</v>
      </c>
      <c r="AJ81" s="7"/>
      <c r="AK81" s="7"/>
      <c r="AL81" s="7"/>
    </row>
    <row r="82" spans="1:38" ht="14" x14ac:dyDescent="0.3">
      <c r="A82" s="12" t="s">
        <v>595</v>
      </c>
      <c r="B82" s="12" t="s">
        <v>211</v>
      </c>
      <c r="C82" s="12" t="s">
        <v>596</v>
      </c>
      <c r="D82" s="12" t="s">
        <v>210</v>
      </c>
      <c r="E82" s="12" t="s">
        <v>27</v>
      </c>
      <c r="F82" s="12" t="s">
        <v>29</v>
      </c>
      <c r="G82" s="12" t="s">
        <v>527</v>
      </c>
      <c r="H82" s="13" t="s">
        <v>500</v>
      </c>
      <c r="I82" s="13">
        <v>1</v>
      </c>
      <c r="J82" s="13">
        <v>0</v>
      </c>
      <c r="K82" s="13" t="s">
        <v>255</v>
      </c>
      <c r="L82" s="13"/>
      <c r="M82" s="13">
        <v>60</v>
      </c>
      <c r="N82" s="13">
        <v>3</v>
      </c>
      <c r="O82" s="20" t="s">
        <v>6</v>
      </c>
      <c r="P82" s="20">
        <v>8.0934623972961889E-2</v>
      </c>
      <c r="Q82" s="20" t="s">
        <v>6</v>
      </c>
      <c r="R82" s="22">
        <f>VLOOKUP(Tableau1[[#This Row],[Genbank Assembly Accession ID]],[1]data_genome_mock_composition!$E:$R,14,FALSE)</f>
        <v>53</v>
      </c>
      <c r="AJ82" s="7"/>
      <c r="AK82" s="7"/>
      <c r="AL82" s="7"/>
    </row>
    <row r="83" spans="1:38" ht="14" x14ac:dyDescent="0.3">
      <c r="A83" s="12" t="s">
        <v>47</v>
      </c>
      <c r="B83" s="12" t="s">
        <v>119</v>
      </c>
      <c r="C83" s="12" t="s">
        <v>332</v>
      </c>
      <c r="D83" s="12" t="s">
        <v>118</v>
      </c>
      <c r="E83" s="12" t="s">
        <v>27</v>
      </c>
      <c r="F83" s="12" t="s">
        <v>43</v>
      </c>
      <c r="G83" s="12" t="s">
        <v>540</v>
      </c>
      <c r="H83" s="13" t="s">
        <v>501</v>
      </c>
      <c r="I83" s="13">
        <v>1</v>
      </c>
      <c r="J83" s="13">
        <v>0</v>
      </c>
      <c r="K83" s="13" t="s">
        <v>255</v>
      </c>
      <c r="L83" s="13"/>
      <c r="M83" s="13">
        <v>45</v>
      </c>
      <c r="N83" s="13">
        <v>6</v>
      </c>
      <c r="O83" s="20">
        <v>3.5346592464837586E-3</v>
      </c>
      <c r="P83" s="20">
        <v>3.4846851988358583E-3</v>
      </c>
      <c r="Q83" s="20" t="s">
        <v>6</v>
      </c>
      <c r="R83" s="22">
        <f>VLOOKUP(Tableau1[[#This Row],[Genbank Assembly Accession ID]],[1]data_genome_mock_composition!$E:$R,14,FALSE)</f>
        <v>32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8" ht="14" x14ac:dyDescent="0.3">
      <c r="A84" s="12" t="s">
        <v>12</v>
      </c>
      <c r="B84" s="12" t="s">
        <v>188</v>
      </c>
      <c r="C84" s="12" t="s">
        <v>344</v>
      </c>
      <c r="D84" s="12" t="s">
        <v>189</v>
      </c>
      <c r="E84" s="12" t="s">
        <v>5</v>
      </c>
      <c r="F84" s="12" t="s">
        <v>355</v>
      </c>
      <c r="G84" s="12" t="s">
        <v>537</v>
      </c>
      <c r="H84" s="13" t="s">
        <v>502</v>
      </c>
      <c r="I84" s="13">
        <v>26</v>
      </c>
      <c r="J84" s="13">
        <v>0</v>
      </c>
      <c r="K84" s="13" t="s">
        <v>10</v>
      </c>
      <c r="L84" s="13"/>
      <c r="M84" s="13" t="s">
        <v>405</v>
      </c>
      <c r="N84" s="13">
        <v>1</v>
      </c>
      <c r="O84" s="20">
        <v>5.8281404369503187E-2</v>
      </c>
      <c r="P84" s="20">
        <v>5.7457404805232488E-2</v>
      </c>
      <c r="Q84" s="20" t="s">
        <v>6</v>
      </c>
      <c r="R84" s="22">
        <f>VLOOKUP(Tableau1[[#This Row],[Genbank Assembly Accession ID]],[1]data_genome_mock_composition!$E:$R,14,FALSE)</f>
        <v>18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8" ht="14" x14ac:dyDescent="0.3">
      <c r="A85" s="12" t="s">
        <v>13</v>
      </c>
      <c r="B85" s="12" t="s">
        <v>191</v>
      </c>
      <c r="C85" s="12" t="s">
        <v>345</v>
      </c>
      <c r="D85" s="12" t="s">
        <v>190</v>
      </c>
      <c r="E85" s="12" t="s">
        <v>5</v>
      </c>
      <c r="F85" s="12" t="s">
        <v>355</v>
      </c>
      <c r="G85" s="12" t="s">
        <v>516</v>
      </c>
      <c r="H85" s="13" t="s">
        <v>503</v>
      </c>
      <c r="I85" s="13">
        <v>2</v>
      </c>
      <c r="J85" s="13">
        <v>0</v>
      </c>
      <c r="K85" s="13" t="s">
        <v>255</v>
      </c>
      <c r="L85" s="13" t="s">
        <v>260</v>
      </c>
      <c r="M85" s="13" t="s">
        <v>416</v>
      </c>
      <c r="N85" s="13">
        <v>2</v>
      </c>
      <c r="O85" s="20">
        <v>4.6954882979120038E-2</v>
      </c>
      <c r="P85" s="20">
        <v>4.629102109154646E-2</v>
      </c>
      <c r="Q85" s="20" t="s">
        <v>6</v>
      </c>
      <c r="R85" s="22">
        <f>VLOOKUP(Tableau1[[#This Row],[Genbank Assembly Accession ID]],[1]data_genome_mock_composition!$E:$R,14,FALSE)</f>
        <v>20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8" ht="14" x14ac:dyDescent="0.3">
      <c r="A86" s="12" t="s">
        <v>46</v>
      </c>
      <c r="B86" s="12" t="s">
        <v>111</v>
      </c>
      <c r="C86" s="12" t="s">
        <v>331</v>
      </c>
      <c r="D86" s="12" t="s">
        <v>112</v>
      </c>
      <c r="E86" s="12" t="s">
        <v>27</v>
      </c>
      <c r="F86" s="12" t="s">
        <v>43</v>
      </c>
      <c r="G86" s="12" t="s">
        <v>528</v>
      </c>
      <c r="H86" s="13" t="s">
        <v>504</v>
      </c>
      <c r="I86" s="13">
        <v>1</v>
      </c>
      <c r="J86" s="13">
        <v>0</v>
      </c>
      <c r="K86" s="13" t="s">
        <v>255</v>
      </c>
      <c r="L86" s="13"/>
      <c r="M86" s="13" t="s">
        <v>417</v>
      </c>
      <c r="N86" s="13">
        <v>7</v>
      </c>
      <c r="O86" s="20" t="s">
        <v>6</v>
      </c>
      <c r="P86" s="20">
        <v>3.4135691743698203E-2</v>
      </c>
      <c r="Q86" s="20" t="s">
        <v>6</v>
      </c>
      <c r="R86" s="22">
        <f>VLOOKUP(Tableau1[[#This Row],[Genbank Assembly Accession ID]],[1]data_genome_mock_composition!$E:$R,14,FALSE)</f>
        <v>34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8" ht="14" x14ac:dyDescent="0.3">
      <c r="A87" s="12" t="s">
        <v>50</v>
      </c>
      <c r="B87" s="12" t="s">
        <v>235</v>
      </c>
      <c r="C87" s="12" t="s">
        <v>294</v>
      </c>
      <c r="D87" s="12" t="s">
        <v>239</v>
      </c>
      <c r="E87" s="12" t="s">
        <v>27</v>
      </c>
      <c r="F87" s="12" t="s">
        <v>43</v>
      </c>
      <c r="G87" s="12" t="s">
        <v>43</v>
      </c>
      <c r="H87" s="13" t="s">
        <v>505</v>
      </c>
      <c r="I87" s="13">
        <v>1</v>
      </c>
      <c r="J87" s="13">
        <v>0</v>
      </c>
      <c r="K87" s="13" t="s">
        <v>255</v>
      </c>
      <c r="L87" s="13"/>
      <c r="M87" s="13" t="s">
        <v>418</v>
      </c>
      <c r="N87" s="13">
        <v>5</v>
      </c>
      <c r="O87" s="20" t="s">
        <v>6</v>
      </c>
      <c r="P87" s="20">
        <v>9.8875796774849992E-2</v>
      </c>
      <c r="Q87" s="20" t="s">
        <v>6</v>
      </c>
      <c r="R87" s="22">
        <f>VLOOKUP(Tableau1[[#This Row],[Genbank Assembly Accession ID]],[1]data_genome_mock_composition!$E:$R,14,FALSE)</f>
        <v>44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8" ht="14" x14ac:dyDescent="0.3">
      <c r="A88" s="12" t="s">
        <v>21</v>
      </c>
      <c r="B88" s="12" t="s">
        <v>177</v>
      </c>
      <c r="C88" s="12" t="s">
        <v>340</v>
      </c>
      <c r="D88" s="12" t="s">
        <v>176</v>
      </c>
      <c r="E88" s="12" t="s">
        <v>5</v>
      </c>
      <c r="F88" s="12" t="s">
        <v>19</v>
      </c>
      <c r="G88" s="12" t="s">
        <v>519</v>
      </c>
      <c r="H88" s="13" t="s">
        <v>506</v>
      </c>
      <c r="I88" s="13">
        <v>1</v>
      </c>
      <c r="J88" s="13">
        <v>0</v>
      </c>
      <c r="K88" s="13" t="s">
        <v>255</v>
      </c>
      <c r="L88" s="13"/>
      <c r="M88" s="13" t="s">
        <v>419</v>
      </c>
      <c r="N88" s="13">
        <v>1</v>
      </c>
      <c r="O88" s="20">
        <v>1.0953893791111791</v>
      </c>
      <c r="P88" s="20">
        <v>1.0799024432547282</v>
      </c>
      <c r="Q88" s="20">
        <v>2.6971706587223108</v>
      </c>
      <c r="R88" s="22">
        <f>VLOOKUP(Tableau1[[#This Row],[Genbank Assembly Accession ID]],[1]data_genome_mock_composition!$E:$R,14,FALSE)</f>
        <v>7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8" ht="14" x14ac:dyDescent="0.3">
      <c r="A89" s="12" t="s">
        <v>9</v>
      </c>
      <c r="B89" s="12" t="s">
        <v>182</v>
      </c>
      <c r="C89" s="12" t="s">
        <v>281</v>
      </c>
      <c r="D89" s="12" t="s">
        <v>181</v>
      </c>
      <c r="E89" s="12" t="s">
        <v>5</v>
      </c>
      <c r="F89" s="12" t="s">
        <v>355</v>
      </c>
      <c r="G89" s="12" t="s">
        <v>538</v>
      </c>
      <c r="H89" s="13" t="s">
        <v>507</v>
      </c>
      <c r="I89" s="13">
        <v>136</v>
      </c>
      <c r="J89" s="13">
        <v>0</v>
      </c>
      <c r="K89" s="13" t="s">
        <v>10</v>
      </c>
      <c r="L89" s="13"/>
      <c r="M89" s="13">
        <v>28</v>
      </c>
      <c r="N89" s="13">
        <v>1</v>
      </c>
      <c r="O89" s="20">
        <v>0.76110793494379247</v>
      </c>
      <c r="P89" s="20">
        <v>0.75034716804839419</v>
      </c>
      <c r="Q89" s="20" t="s">
        <v>6</v>
      </c>
      <c r="R89" s="22">
        <f>VLOOKUP(Tableau1[[#This Row],[Genbank Assembly Accession ID]],[1]data_genome_mock_composition!$E:$R,14,FALSE)</f>
        <v>12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8" ht="14" x14ac:dyDescent="0.3">
      <c r="A90" s="12" t="s">
        <v>65</v>
      </c>
      <c r="B90" s="12" t="s">
        <v>252</v>
      </c>
      <c r="C90" s="12" t="s">
        <v>348</v>
      </c>
      <c r="D90" s="12" t="s">
        <v>212</v>
      </c>
      <c r="E90" s="12" t="s">
        <v>27</v>
      </c>
      <c r="F90" s="12" t="s">
        <v>270</v>
      </c>
      <c r="G90" s="12" t="s">
        <v>270</v>
      </c>
      <c r="H90" s="13" t="s">
        <v>508</v>
      </c>
      <c r="I90" s="13">
        <v>59</v>
      </c>
      <c r="J90" s="13">
        <v>0</v>
      </c>
      <c r="K90" s="13" t="s">
        <v>10</v>
      </c>
      <c r="L90" s="13"/>
      <c r="M90" s="13" t="s">
        <v>371</v>
      </c>
      <c r="N90" s="13">
        <v>2</v>
      </c>
      <c r="O90" s="20" t="s">
        <v>6</v>
      </c>
      <c r="P90" s="20">
        <v>3.1859978960784997E-2</v>
      </c>
      <c r="Q90" s="20" t="s">
        <v>6</v>
      </c>
      <c r="R90" s="22">
        <f>VLOOKUP(Tableau1[[#This Row],[Genbank Assembly Accession ID]],[1]data_genome_mock_composition!$E:$R,14,FALSE)</f>
        <v>89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8" ht="14" x14ac:dyDescent="0.3">
      <c r="A91" s="12" t="s">
        <v>60</v>
      </c>
      <c r="B91" s="12" t="s">
        <v>250</v>
      </c>
      <c r="C91" s="12" t="s">
        <v>333</v>
      </c>
      <c r="D91" s="12" t="s">
        <v>251</v>
      </c>
      <c r="E91" s="12" t="s">
        <v>27</v>
      </c>
      <c r="F91" s="12" t="s">
        <v>272</v>
      </c>
      <c r="G91" s="12" t="s">
        <v>521</v>
      </c>
      <c r="H91" s="13" t="s">
        <v>509</v>
      </c>
      <c r="I91" s="13">
        <v>1</v>
      </c>
      <c r="J91" s="13">
        <v>0</v>
      </c>
      <c r="K91" s="13" t="s">
        <v>255</v>
      </c>
      <c r="L91" s="13"/>
      <c r="M91" s="13" t="s">
        <v>420</v>
      </c>
      <c r="N91" s="13">
        <v>2</v>
      </c>
      <c r="O91" s="20">
        <v>7.3500495522550349</v>
      </c>
      <c r="P91" s="20">
        <v>7.2461323990233018</v>
      </c>
      <c r="Q91" s="20">
        <v>3.6195965326198807</v>
      </c>
      <c r="R91" s="22">
        <f>VLOOKUP(Tableau1[[#This Row],[Genbank Assembly Accession ID]],[1]data_genome_mock_composition!$E:$R,14,FALSE)</f>
        <v>69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8" ht="14" x14ac:dyDescent="0.3">
      <c r="A92" s="12" t="s">
        <v>134</v>
      </c>
      <c r="B92" s="12" t="s">
        <v>135</v>
      </c>
      <c r="C92" s="12" t="s">
        <v>310</v>
      </c>
      <c r="D92" s="12" t="s">
        <v>269</v>
      </c>
      <c r="E92" s="12" t="s">
        <v>27</v>
      </c>
      <c r="F92" s="12" t="s">
        <v>52</v>
      </c>
      <c r="G92" s="12" t="s">
        <v>541</v>
      </c>
      <c r="H92" s="13" t="s">
        <v>510</v>
      </c>
      <c r="I92" s="13">
        <v>1</v>
      </c>
      <c r="J92" s="13">
        <v>0</v>
      </c>
      <c r="K92" s="13" t="s">
        <v>255</v>
      </c>
      <c r="L92" s="13"/>
      <c r="M92" s="13" t="s">
        <v>421</v>
      </c>
      <c r="N92" s="13">
        <v>5</v>
      </c>
      <c r="O92" s="20">
        <v>2.8088715465274476</v>
      </c>
      <c r="P92" s="20">
        <v>2.7691588979482016</v>
      </c>
      <c r="Q92" s="20">
        <v>1.3832534921164039</v>
      </c>
      <c r="R92" s="22">
        <f>VLOOKUP(Tableau1[[#This Row],[Genbank Assembly Accession ID]],[1]data_genome_mock_composition!$E:$R,14,FALSE)</f>
        <v>45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4" spans="1:38" x14ac:dyDescent="0.3">
      <c r="O94" s="18"/>
      <c r="P94" s="18"/>
      <c r="Q94" s="18"/>
    </row>
  </sheetData>
  <sortState ref="A2:Q93">
    <sortCondition ref="A2:A93"/>
  </sortState>
  <pageMargins left="0.75" right="0.75" top="1" bottom="1" header="0.5" footer="0.5"/>
  <pageSetup orientation="portrait" horizontalDpi="4294967292" verticalDpi="42949672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S1-Composition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Victoria Meslier</cp:lastModifiedBy>
  <dcterms:created xsi:type="dcterms:W3CDTF">2018-09-06T16:59:04Z</dcterms:created>
  <dcterms:modified xsi:type="dcterms:W3CDTF">2022-05-19T18:44:57Z</dcterms:modified>
</cp:coreProperties>
</file>